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der list" sheetId="1" state="visible" r:id="rId1"/>
    <sheet name="Bands" sheetId="2" state="visible" r:id="rId2"/>
    <sheet name="Quarterly check" sheetId="3" state="visible" r:id="rId3"/>
    <sheet name="Current holdings" sheetId="4" state="visible" r:id="rId4"/>
  </sheets>
  <definedNames/>
  <calcPr calcId="124519" fullCalcOnLoad="1"/>
</workbook>
</file>

<file path=xl/styles.xml><?xml version="1.0" encoding="utf-8"?>
<styleSheet xmlns="http://schemas.openxmlformats.org/spreadsheetml/2006/main">
  <numFmts count="4">
    <numFmt numFmtId="164" formatCode="$#,##0.00;($#,##0.00);&quot;-&quot;"/>
    <numFmt numFmtId="165" formatCode="0.0%"/>
    <numFmt numFmtId="166" formatCode="0.000000"/>
    <numFmt numFmtId="167" formatCode="$#,##0.00"/>
  </numFmts>
  <fonts count="9">
    <font>
      <name val="Calibri"/>
      <family val="2"/>
      <color theme="1"/>
      <sz val="11"/>
      <scheme val="minor"/>
    </font>
    <font>
      <name val="Arial"/>
      <b val="1"/>
      <sz val="14"/>
    </font>
    <font>
      <name val="Arial"/>
      <i val="1"/>
      <sz val="9"/>
    </font>
    <font>
      <name val="Arial"/>
      <b val="1"/>
      <color rgb="00FFFFFF"/>
    </font>
    <font>
      <name val="Arial"/>
      <b val="1"/>
    </font>
    <font>
      <name val="Arial"/>
      <b val="1"/>
      <color rgb="001F8A5C"/>
    </font>
    <font>
      <name val="Arial"/>
      <sz val="9"/>
    </font>
    <font>
      <name val="Arial"/>
    </font>
    <font>
      <name val="Arial"/>
      <color rgb="000000FF"/>
    </font>
  </fonts>
  <fills count="8">
    <fill>
      <patternFill/>
    </fill>
    <fill>
      <patternFill patternType="gray125"/>
    </fill>
    <fill>
      <patternFill patternType="solid">
        <fgColor rgb="001B1F24"/>
      </patternFill>
    </fill>
    <fill>
      <patternFill patternType="solid">
        <fgColor rgb="00E5F3EC"/>
      </patternFill>
    </fill>
    <fill>
      <patternFill patternType="solid">
        <fgColor rgb="00FBF1DF"/>
      </patternFill>
    </fill>
    <fill>
      <patternFill patternType="solid">
        <fgColor rgb="00EDEDED"/>
      </patternFill>
    </fill>
    <fill>
      <patternFill patternType="solid">
        <fgColor rgb="00E6EEF9"/>
      </patternFill>
    </fill>
    <fill>
      <patternFill patternType="solid">
        <fgColor rgb="00FFFF00"/>
      </patternFill>
    </fill>
  </fills>
  <borders count="2">
    <border>
      <left/>
      <right/>
      <top/>
      <bottom/>
      <diagonal/>
    </border>
    <border>
      <bottom style="thin">
        <color rgb="00D9DEE5"/>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3" borderId="1" pivotButton="0" quotePrefix="0" xfId="0"/>
    <xf numFmtId="0" fontId="5" fillId="0" borderId="1" pivotButton="0" quotePrefix="0" xfId="0"/>
    <xf numFmtId="164" fontId="0" fillId="0" borderId="1" pivotButton="0" quotePrefix="0" xfId="0"/>
    <xf numFmtId="165" fontId="0" fillId="0" borderId="1" pivotButton="0" quotePrefix="0" xfId="0"/>
    <xf numFmtId="0" fontId="6"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0" borderId="0" pivotButton="0" quotePrefix="0" xfId="0"/>
    <xf numFmtId="164" fontId="4" fillId="0" borderId="0" pivotButton="0" quotePrefix="0" xfId="0"/>
    <xf numFmtId="0" fontId="4" fillId="0" borderId="1" pivotButton="0" quotePrefix="0" xfId="0"/>
    <xf numFmtId="0" fontId="0" fillId="0" borderId="1" pivotButton="0" quotePrefix="0" xfId="0"/>
    <xf numFmtId="0" fontId="2" fillId="0" borderId="0" pivotButton="0" quotePrefix="0" xfId="0"/>
    <xf numFmtId="0" fontId="7" fillId="0" borderId="1" pivotButton="0" quotePrefix="0" xfId="0"/>
    <xf numFmtId="9" fontId="8" fillId="0" borderId="1" pivotButton="0" quotePrefix="0" xfId="0"/>
    <xf numFmtId="165" fontId="8" fillId="0" borderId="1" pivotButton="0" quotePrefix="0" xfId="0"/>
    <xf numFmtId="0" fontId="8" fillId="0" borderId="1" pivotButton="0" quotePrefix="0" xfId="0"/>
    <xf numFmtId="9" fontId="0" fillId="0" borderId="1" pivotButton="0" quotePrefix="0" xfId="0"/>
    <xf numFmtId="164" fontId="8" fillId="7" borderId="1" pivotButton="0" quotePrefix="0" xfId="0"/>
    <xf numFmtId="165" fontId="4" fillId="0" borderId="0" pivotButton="0" quotePrefix="0" xfId="0"/>
    <xf numFmtId="0" fontId="7" fillId="0" borderId="0" pivotButton="0" quotePrefix="0" xfId="0"/>
    <xf numFmtId="164" fontId="0" fillId="0" borderId="0" pivotButton="0" quotePrefix="0" xfId="0"/>
    <xf numFmtId="165" fontId="0" fillId="0" borderId="0" pivotButton="0" quotePrefix="0" xfId="0"/>
    <xf numFmtId="166" fontId="8" fillId="0" borderId="0" pivotButton="0" quotePrefix="0" xfId="0"/>
    <xf numFmtId="164" fontId="8"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20" customWidth="1" min="2" max="2"/>
    <col width="12" customWidth="1" min="3" max="3"/>
    <col width="12" customWidth="1" min="4" max="4"/>
    <col width="13" customWidth="1" min="5" max="5"/>
    <col width="58" customWidth="1" min="6" max="6"/>
  </cols>
  <sheetData>
    <row r="1">
      <c r="A1" s="1" t="inlineStr">
        <is>
          <t>Orders for tomorrow's open: buys only, nothing sold</t>
        </is>
      </c>
    </row>
    <row r="2" ht="26" customHeight="1">
      <c r="A2" s="2" t="inlineStr">
        <is>
          <t>Deposit $241.00 on top of $259.63 of existing positions = $500.63. Enter each as a DOLLAR-amount fractional order. No existing position is sold.</t>
        </is>
      </c>
    </row>
    <row r="4" ht="28" customHeight="1">
      <c r="A4" s="3" t="inlineStr">
        <is>
          <t>Ticker</t>
        </is>
      </c>
      <c r="B4" s="3" t="inlineStr">
        <is>
          <t>Order</t>
        </is>
      </c>
      <c r="C4" s="3" t="inlineStr">
        <is>
          <t>Amount</t>
        </is>
      </c>
      <c r="D4" s="3" t="inlineStr">
        <is>
          <t>Ends at</t>
        </is>
      </c>
      <c r="E4" s="3" t="inlineStr">
        <is>
          <t>Weight after</t>
        </is>
      </c>
      <c r="F4" s="3" t="inlineStr">
        <is>
          <t>Why</t>
        </is>
      </c>
    </row>
    <row r="5">
      <c r="A5" s="4" t="inlineStr">
        <is>
          <t>LLY</t>
        </is>
      </c>
      <c r="B5" s="5" t="inlineStr">
        <is>
          <t>Buy (add)</t>
        </is>
      </c>
      <c r="C5" s="6" t="n">
        <v>42</v>
      </c>
      <c r="D5" s="6" t="n">
        <v>78.52</v>
      </c>
      <c r="E5" s="7" t="n">
        <v>0.1568423786029603</v>
      </c>
      <c r="F5" s="8" t="inlineStr">
        <is>
          <t>Category leader</t>
        </is>
      </c>
    </row>
    <row r="6">
      <c r="A6" s="4" t="inlineStr">
        <is>
          <t>NVO</t>
        </is>
      </c>
      <c r="B6" s="5" t="inlineStr">
        <is>
          <t>Buy (new)</t>
        </is>
      </c>
      <c r="C6" s="6" t="n">
        <v>35</v>
      </c>
      <c r="D6" s="6" t="n">
        <v>35</v>
      </c>
      <c r="E6" s="7" t="n">
        <v>0.0699119109921499</v>
      </c>
      <c r="F6" s="8" t="inlineStr">
        <is>
          <t>Contrarian second source</t>
        </is>
      </c>
    </row>
    <row r="7">
      <c r="A7" s="9" t="inlineStr">
        <is>
          <t>GEV</t>
        </is>
      </c>
      <c r="B7" s="5" t="inlineStr">
        <is>
          <t>Buy (new)</t>
        </is>
      </c>
      <c r="C7" s="6" t="n">
        <v>25</v>
      </c>
      <c r="D7" s="6" t="n">
        <v>25</v>
      </c>
      <c r="E7" s="7" t="n">
        <v>0.04993707928010706</v>
      </c>
      <c r="F7" s="8" t="inlineStr">
        <is>
          <t>Turbines and grid gear. Chart-check before buying</t>
        </is>
      </c>
    </row>
    <row r="8">
      <c r="A8" s="9" t="inlineStr">
        <is>
          <t>CEG</t>
        </is>
      </c>
      <c r="B8" s="5" t="inlineStr">
        <is>
          <t>Buy (new)</t>
        </is>
      </c>
      <c r="C8" s="6" t="n">
        <v>25</v>
      </c>
      <c r="D8" s="6" t="n">
        <v>25</v>
      </c>
      <c r="E8" s="7" t="n">
        <v>0.04993707928010706</v>
      </c>
      <c r="F8" s="8" t="inlineStr">
        <is>
          <t>Nuclear fleet. Chart-check before buying</t>
        </is>
      </c>
    </row>
    <row r="9">
      <c r="A9" s="10" t="inlineStr">
        <is>
          <t>SGOV</t>
        </is>
      </c>
      <c r="B9" s="5" t="inlineStr">
        <is>
          <t>Buy (new)</t>
        </is>
      </c>
      <c r="C9" s="6" t="n">
        <v>25</v>
      </c>
      <c r="D9" s="6" t="n">
        <v>25</v>
      </c>
      <c r="E9" s="7" t="n">
        <v>0.04993707928010706</v>
      </c>
      <c r="F9" s="8" t="inlineStr">
        <is>
          <t>Refill to 5% from trims if below 3%</t>
        </is>
      </c>
    </row>
    <row r="10">
      <c r="A10" s="4" t="inlineStr">
        <is>
          <t>AMGN</t>
        </is>
      </c>
      <c r="B10" s="5" t="inlineStr">
        <is>
          <t>Buy (new)</t>
        </is>
      </c>
      <c r="C10" s="6" t="n">
        <v>20</v>
      </c>
      <c r="D10" s="6" t="n">
        <v>20</v>
      </c>
      <c r="E10" s="7" t="n">
        <v>0.03994966342408565</v>
      </c>
      <c r="F10" s="8" t="inlineStr">
        <is>
          <t>MariTide monthly, defensive wrapper</t>
        </is>
      </c>
    </row>
    <row r="11">
      <c r="A11" s="11" t="inlineStr">
        <is>
          <t>NVDA</t>
        </is>
      </c>
      <c r="B11" s="5" t="inlineStr">
        <is>
          <t>Buy (add)</t>
        </is>
      </c>
      <c r="C11" s="6" t="n">
        <v>15</v>
      </c>
      <c r="D11" s="6" t="n">
        <v>53.85</v>
      </c>
      <c r="E11" s="7" t="n">
        <v>0.1075644687693506</v>
      </c>
      <c r="F11" s="8" t="inlineStr">
        <is>
          <t>Accelerator leader</t>
        </is>
      </c>
    </row>
    <row r="12">
      <c r="A12" s="11" t="inlineStr">
        <is>
          <t>TSM</t>
        </is>
      </c>
      <c r="B12" s="5" t="inlineStr">
        <is>
          <t>Buy (add)</t>
        </is>
      </c>
      <c r="C12" s="6" t="n">
        <v>15</v>
      </c>
      <c r="D12" s="6" t="n">
        <v>38.47</v>
      </c>
      <c r="E12" s="7" t="n">
        <v>0.07684317759622875</v>
      </c>
      <c r="F12" s="8" t="inlineStr">
        <is>
          <t>Foundry chokepoint</t>
        </is>
      </c>
    </row>
    <row r="13">
      <c r="A13" s="9" t="inlineStr">
        <is>
          <t>VRT</t>
        </is>
      </c>
      <c r="B13" s="5" t="inlineStr">
        <is>
          <t>Buy (add)</t>
        </is>
      </c>
      <c r="C13" s="6" t="n">
        <v>15</v>
      </c>
      <c r="D13" s="6" t="n">
        <v>25.34</v>
      </c>
      <c r="E13" s="7" t="n">
        <v>0.05061622355831652</v>
      </c>
      <c r="F13" s="8" t="inlineStr">
        <is>
          <t>Data-center power and cooling</t>
        </is>
      </c>
    </row>
    <row r="14">
      <c r="A14" s="11" t="inlineStr">
        <is>
          <t>AVGO</t>
        </is>
      </c>
      <c r="B14" s="5" t="inlineStr">
        <is>
          <t>Buy (add)</t>
        </is>
      </c>
      <c r="C14" s="6" t="n">
        <v>12</v>
      </c>
      <c r="D14" s="6" t="n">
        <v>25.01</v>
      </c>
      <c r="E14" s="7" t="n">
        <v>0.04995705411181911</v>
      </c>
      <c r="F14" s="8" t="inlineStr">
        <is>
          <t>Custom silicon and networking</t>
        </is>
      </c>
    </row>
    <row r="15">
      <c r="A15" s="11" t="inlineStr">
        <is>
          <t>MSFT</t>
        </is>
      </c>
      <c r="B15" s="5" t="inlineStr">
        <is>
          <t>Buy (add)</t>
        </is>
      </c>
      <c r="C15" s="6" t="n">
        <v>11</v>
      </c>
      <c r="D15" s="6" t="n">
        <v>27.22</v>
      </c>
      <c r="E15" s="7" t="n">
        <v>0.05437149192018057</v>
      </c>
      <c r="F15" s="8" t="inlineStr">
        <is>
          <t>Azure; steadiest cash flow</t>
        </is>
      </c>
    </row>
    <row r="16">
      <c r="A16" s="4" t="inlineStr">
        <is>
          <t>GPCR</t>
        </is>
      </c>
      <c r="B16" s="5" t="inlineStr">
        <is>
          <t>Buy (add)</t>
        </is>
      </c>
      <c r="C16" s="6" t="n">
        <v>1</v>
      </c>
      <c r="D16" s="6" t="n">
        <v>9.93</v>
      </c>
      <c r="E16" s="7" t="n">
        <v>0.01983500789005853</v>
      </c>
      <c r="F16" s="8" t="inlineStr">
        <is>
          <t>Speculative. Never add; sell half above 6%</t>
        </is>
      </c>
    </row>
    <row r="17">
      <c r="B17" s="12" t="inlineStr">
        <is>
          <t>Total to deploy</t>
        </is>
      </c>
      <c r="C17" s="13" t="n">
        <v>241</v>
      </c>
    </row>
    <row r="19">
      <c r="A19" s="12" t="inlineStr">
        <is>
          <t>Not traded (kept as is)</t>
        </is>
      </c>
    </row>
    <row r="20" ht="28" customHeight="1">
      <c r="A20" s="3" t="inlineStr">
        <is>
          <t>Ticker</t>
        </is>
      </c>
      <c r="B20" s="3" t="inlineStr">
        <is>
          <t>Status</t>
        </is>
      </c>
      <c r="C20" s="3" t="inlineStr">
        <is>
          <t>Value</t>
        </is>
      </c>
      <c r="D20" s="3" t="inlineStr">
        <is>
          <t>Weight after</t>
        </is>
      </c>
      <c r="E20" s="3" t="inlineStr"/>
      <c r="F20" s="3" t="inlineStr">
        <is>
          <t>Rule</t>
        </is>
      </c>
    </row>
    <row r="21">
      <c r="A21" s="14" t="inlineStr">
        <is>
          <t>AMD</t>
        </is>
      </c>
      <c r="B21" s="8" t="inlineStr">
        <is>
          <t>Core, no add needed</t>
        </is>
      </c>
      <c r="C21" s="6" t="n">
        <v>33.76</v>
      </c>
      <c r="D21" s="7" t="n">
        <v>0.06743503185985658</v>
      </c>
      <c r="E21" s="15" t="n"/>
      <c r="F21" s="8" t="inlineStr">
        <is>
          <t>Direct chip bet; kept instead of SMH</t>
        </is>
      </c>
    </row>
    <row r="22">
      <c r="A22" s="14" t="inlineStr">
        <is>
          <t>VOO</t>
        </is>
      </c>
      <c r="B22" s="8" t="inlineStr">
        <is>
          <t>Legacy</t>
        </is>
      </c>
      <c r="C22" s="6" t="n">
        <v>25.93</v>
      </c>
      <c r="D22" s="7" t="n">
        <v>0.05179473862932705</v>
      </c>
      <c r="E22" s="15" t="n"/>
      <c r="F22" s="8" t="inlineStr">
        <is>
          <t>Legacy. Never add; harmless ballast</t>
        </is>
      </c>
    </row>
    <row r="23">
      <c r="A23" s="14" t="inlineStr">
        <is>
          <t>HIMS</t>
        </is>
      </c>
      <c r="B23" s="8" t="inlineStr">
        <is>
          <t>Legacy</t>
        </is>
      </c>
      <c r="C23" s="6" t="n">
        <v>18.37</v>
      </c>
      <c r="D23" s="7" t="n">
        <v>0.03669376585502267</v>
      </c>
      <c r="E23" s="15" t="n"/>
      <c r="F23" s="8" t="inlineStr">
        <is>
          <t>Legacy. Never add; distributor, not developer</t>
        </is>
      </c>
    </row>
    <row r="24">
      <c r="A24" s="14" t="inlineStr">
        <is>
          <t>WST</t>
        </is>
      </c>
      <c r="B24" s="8" t="inlineStr">
        <is>
          <t>Legacy</t>
        </is>
      </c>
      <c r="C24" s="6" t="n">
        <v>17.98</v>
      </c>
      <c r="D24" s="7" t="n">
        <v>0.03591474741825301</v>
      </c>
      <c r="E24" s="15" t="n"/>
      <c r="F24" s="8" t="inlineStr">
        <is>
          <t>Legacy. Never add; components at ~30x</t>
        </is>
      </c>
    </row>
    <row r="25">
      <c r="A25" s="14" t="inlineStr">
        <is>
          <t>AMZN</t>
        </is>
      </c>
      <c r="B25" s="8" t="inlineStr">
        <is>
          <t>Legacy</t>
        </is>
      </c>
      <c r="C25" s="6" t="n">
        <v>16.25</v>
      </c>
      <c r="D25" s="7" t="n">
        <v>0.03245910153206959</v>
      </c>
      <c r="E25" s="15" t="n"/>
      <c r="F25" s="8" t="inlineStr">
        <is>
          <t>Legacy. Never add; AWS exposure kept as is</t>
        </is>
      </c>
    </row>
    <row r="27" ht="24" customHeight="1">
      <c r="A27" s="2" t="inlineStr">
        <is>
          <t>Resulting mix: about 39% AI compute and platforms, 36% GLP-1, 15% power and grid, 5% VOO, 5% SGOV. Seventeen positions.</t>
        </is>
      </c>
    </row>
    <row r="28" ht="24" customHeight="1">
      <c r="A28" s="2" t="inlineStr">
        <is>
          <t>GEV and CEG were not price-checked in this research pass and both ran hard through 2025-26. Look at a one-year chart first; if either looks parabolic, put its $25 into VRT and SGOV instead.</t>
        </is>
      </c>
    </row>
    <row r="29" ht="24" customHeight="1">
      <c r="A29" s="2" t="inlineStr">
        <is>
          <t>Legacy positions (VOO, HIMS, WST, AMZN) are never added to. They shrink toward rounding errors as you deposit. Selling them is optional, never required.</t>
        </is>
      </c>
    </row>
    <row r="30" ht="24" customHeight="1">
      <c r="A30" s="2" t="inlineStr">
        <is>
          <t>The $1 GPCR order is only there to make the total come to exactly $241. Skip it if you prefer; leave the dollar as buying power.</t>
        </is>
      </c>
    </row>
  </sheetData>
  <mergeCells count="5">
    <mergeCell ref="A2:F2"/>
    <mergeCell ref="A28:F28"/>
    <mergeCell ref="A27:F27"/>
    <mergeCell ref="A30:F30"/>
    <mergeCell ref="A29:F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9" customWidth="1" min="1" max="1"/>
    <col width="14" customWidth="1" min="2" max="2"/>
    <col width="10" customWidth="1" min="3" max="3"/>
    <col width="9" customWidth="1" min="4" max="4"/>
    <col width="17" customWidth="1" min="5" max="5"/>
    <col width="13" customWidth="1" min="6" max="6"/>
    <col width="13" customWidth="1" min="7" max="7"/>
    <col width="48" customWidth="1" min="8" max="8"/>
  </cols>
  <sheetData>
    <row r="1">
      <c r="A1" s="1" t="inlineStr">
        <is>
          <t>Per-position bands (the only rules you need to check)</t>
        </is>
      </c>
    </row>
    <row r="2">
      <c r="A2" s="16" t="inlineStr">
        <is>
          <t>Weights are share of total account value. Check once a quarter. Nothing here requires tracking sleeves except the one AI ceiling at the bottom.</t>
        </is>
      </c>
    </row>
    <row r="4" ht="28" customHeight="1">
      <c r="A4" s="3" t="inlineStr">
        <is>
          <t>Ticker</t>
        </is>
      </c>
      <c r="B4" s="3" t="inlineStr">
        <is>
          <t>Engine</t>
        </is>
      </c>
      <c r="C4" s="3" t="inlineStr">
        <is>
          <t>Type</t>
        </is>
      </c>
      <c r="D4" s="3" t="inlineStr">
        <is>
          <t>Target</t>
        </is>
      </c>
      <c r="E4" s="3" t="inlineStr">
        <is>
          <t>Add first if below</t>
        </is>
      </c>
      <c r="F4" s="3" t="inlineStr">
        <is>
          <t>Trim if above</t>
        </is>
      </c>
      <c r="G4" s="3" t="inlineStr">
        <is>
          <t>Trim back to</t>
        </is>
      </c>
      <c r="H4" s="3" t="inlineStr">
        <is>
          <t>Note</t>
        </is>
      </c>
    </row>
    <row r="5">
      <c r="A5" s="11" t="inlineStr">
        <is>
          <t>NVDA</t>
        </is>
      </c>
      <c r="B5" s="17" t="inlineStr">
        <is>
          <t>AI compute</t>
        </is>
      </c>
      <c r="C5" s="8" t="inlineStr">
        <is>
          <t>core</t>
        </is>
      </c>
      <c r="D5" s="18" t="n">
        <v>0.11</v>
      </c>
      <c r="E5" s="19" t="n">
        <v>0.055</v>
      </c>
      <c r="F5" s="18" t="n">
        <v>0.22</v>
      </c>
      <c r="G5" s="19" t="n">
        <v>0.165</v>
      </c>
      <c r="H5" s="8" t="inlineStr">
        <is>
          <t>Accelerator leader</t>
        </is>
      </c>
    </row>
    <row r="6">
      <c r="A6" s="11" t="inlineStr">
        <is>
          <t>TSM</t>
        </is>
      </c>
      <c r="B6" s="17" t="inlineStr">
        <is>
          <t>AI compute</t>
        </is>
      </c>
      <c r="C6" s="8" t="inlineStr">
        <is>
          <t>core</t>
        </is>
      </c>
      <c r="D6" s="18" t="n">
        <v>0.08</v>
      </c>
      <c r="E6" s="19" t="n">
        <v>0.04</v>
      </c>
      <c r="F6" s="18" t="n">
        <v>0.16</v>
      </c>
      <c r="G6" s="19" t="n">
        <v>0.12</v>
      </c>
      <c r="H6" s="8" t="inlineStr">
        <is>
          <t>Foundry chokepoint</t>
        </is>
      </c>
    </row>
    <row r="7">
      <c r="A7" s="11" t="inlineStr">
        <is>
          <t>AMD</t>
        </is>
      </c>
      <c r="B7" s="17" t="inlineStr">
        <is>
          <t>AI compute</t>
        </is>
      </c>
      <c r="C7" s="8" t="inlineStr">
        <is>
          <t>core</t>
        </is>
      </c>
      <c r="D7" s="18" t="n">
        <v>0.07000000000000001</v>
      </c>
      <c r="E7" s="19" t="n">
        <v>0.035</v>
      </c>
      <c r="F7" s="18" t="n">
        <v>0.14</v>
      </c>
      <c r="G7" s="19" t="n">
        <v>0.105</v>
      </c>
      <c r="H7" s="8" t="inlineStr">
        <is>
          <t>Direct chip bet; kept instead of SMH</t>
        </is>
      </c>
    </row>
    <row r="8">
      <c r="A8" s="11" t="inlineStr">
        <is>
          <t>MSFT</t>
        </is>
      </c>
      <c r="B8" s="17" t="inlineStr">
        <is>
          <t>AI compute</t>
        </is>
      </c>
      <c r="C8" s="8" t="inlineStr">
        <is>
          <t>core</t>
        </is>
      </c>
      <c r="D8" s="18" t="n">
        <v>0.05</v>
      </c>
      <c r="E8" s="19" t="n">
        <v>0.025</v>
      </c>
      <c r="F8" s="18" t="n">
        <v>0.1</v>
      </c>
      <c r="G8" s="19" t="n">
        <v>0.075</v>
      </c>
      <c r="H8" s="8" t="inlineStr">
        <is>
          <t>Azure; steadiest cash flow</t>
        </is>
      </c>
    </row>
    <row r="9">
      <c r="A9" s="11" t="inlineStr">
        <is>
          <t>AVGO</t>
        </is>
      </c>
      <c r="B9" s="17" t="inlineStr">
        <is>
          <t>AI compute</t>
        </is>
      </c>
      <c r="C9" s="8" t="inlineStr">
        <is>
          <t>core</t>
        </is>
      </c>
      <c r="D9" s="18" t="n">
        <v>0.05</v>
      </c>
      <c r="E9" s="19" t="n">
        <v>0.025</v>
      </c>
      <c r="F9" s="18" t="n">
        <v>0.1</v>
      </c>
      <c r="G9" s="19" t="n">
        <v>0.075</v>
      </c>
      <c r="H9" s="8" t="inlineStr">
        <is>
          <t>Custom silicon and networking</t>
        </is>
      </c>
    </row>
    <row r="10">
      <c r="A10" s="11" t="inlineStr">
        <is>
          <t>AMZN</t>
        </is>
      </c>
      <c r="B10" s="17" t="inlineStr">
        <is>
          <t>AI compute</t>
        </is>
      </c>
      <c r="C10" s="8" t="inlineStr">
        <is>
          <t>legacy</t>
        </is>
      </c>
      <c r="D10" s="18" t="n">
        <v>0.03</v>
      </c>
      <c r="E10" s="20" t="inlineStr">
        <is>
          <t>never add</t>
        </is>
      </c>
      <c r="F10" s="18" t="n">
        <v>0.06</v>
      </c>
      <c r="G10" s="19" t="n">
        <v>0.03</v>
      </c>
      <c r="H10" s="8" t="inlineStr">
        <is>
          <t>Legacy. Never add; AWS exposure kept as is</t>
        </is>
      </c>
    </row>
    <row r="11">
      <c r="A11" s="4" t="inlineStr">
        <is>
          <t>LLY</t>
        </is>
      </c>
      <c r="B11" s="17" t="inlineStr">
        <is>
          <t>GLP-1</t>
        </is>
      </c>
      <c r="C11" s="8" t="inlineStr">
        <is>
          <t>core</t>
        </is>
      </c>
      <c r="D11" s="18" t="n">
        <v>0.16</v>
      </c>
      <c r="E11" s="19" t="n">
        <v>0.08</v>
      </c>
      <c r="F11" s="18" t="n">
        <v>0.32</v>
      </c>
      <c r="G11" s="19" t="n">
        <v>0.24</v>
      </c>
      <c r="H11" s="8" t="inlineStr">
        <is>
          <t>Category leader</t>
        </is>
      </c>
    </row>
    <row r="12">
      <c r="A12" s="4" t="inlineStr">
        <is>
          <t>NVO</t>
        </is>
      </c>
      <c r="B12" s="17" t="inlineStr">
        <is>
          <t>GLP-1</t>
        </is>
      </c>
      <c r="C12" s="8" t="inlineStr">
        <is>
          <t>core</t>
        </is>
      </c>
      <c r="D12" s="18" t="n">
        <v>0.07000000000000001</v>
      </c>
      <c r="E12" s="19" t="n">
        <v>0.035</v>
      </c>
      <c r="F12" s="18" t="n">
        <v>0.14</v>
      </c>
      <c r="G12" s="19" t="n">
        <v>0.105</v>
      </c>
      <c r="H12" s="8" t="inlineStr">
        <is>
          <t>Contrarian second source</t>
        </is>
      </c>
    </row>
    <row r="13">
      <c r="A13" s="4" t="inlineStr">
        <is>
          <t>AMGN</t>
        </is>
      </c>
      <c r="B13" s="17" t="inlineStr">
        <is>
          <t>GLP-1</t>
        </is>
      </c>
      <c r="C13" s="8" t="inlineStr">
        <is>
          <t>core</t>
        </is>
      </c>
      <c r="D13" s="18" t="n">
        <v>0.04</v>
      </c>
      <c r="E13" s="19" t="n">
        <v>0.02</v>
      </c>
      <c r="F13" s="18" t="n">
        <v>0.08</v>
      </c>
      <c r="G13" s="19" t="n">
        <v>0.06</v>
      </c>
      <c r="H13" s="8" t="inlineStr">
        <is>
          <t>MariTide monthly, defensive wrapper</t>
        </is>
      </c>
    </row>
    <row r="14">
      <c r="A14" s="4" t="inlineStr">
        <is>
          <t>GPCR</t>
        </is>
      </c>
      <c r="B14" s="17" t="inlineStr">
        <is>
          <t>GLP-1</t>
        </is>
      </c>
      <c r="C14" s="8" t="inlineStr">
        <is>
          <t>spec</t>
        </is>
      </c>
      <c r="D14" s="18" t="n">
        <v>0.02</v>
      </c>
      <c r="E14" s="20" t="inlineStr">
        <is>
          <t>never add</t>
        </is>
      </c>
      <c r="F14" s="18" t="n">
        <v>0.06</v>
      </c>
      <c r="G14" s="19" t="n">
        <v>0.03</v>
      </c>
      <c r="H14" s="8" t="inlineStr">
        <is>
          <t>Speculative. Never add; sell half above 6%</t>
        </is>
      </c>
    </row>
    <row r="15">
      <c r="A15" s="4" t="inlineStr">
        <is>
          <t>HIMS</t>
        </is>
      </c>
      <c r="B15" s="17" t="inlineStr">
        <is>
          <t>GLP-1</t>
        </is>
      </c>
      <c r="C15" s="8" t="inlineStr">
        <is>
          <t>legacy</t>
        </is>
      </c>
      <c r="D15" s="18" t="n">
        <v>0.04</v>
      </c>
      <c r="E15" s="20" t="inlineStr">
        <is>
          <t>never add</t>
        </is>
      </c>
      <c r="F15" s="18" t="n">
        <v>0.08</v>
      </c>
      <c r="G15" s="19" t="n">
        <v>0.04</v>
      </c>
      <c r="H15" s="8" t="inlineStr">
        <is>
          <t>Legacy. Never add; distributor, not developer</t>
        </is>
      </c>
    </row>
    <row r="16">
      <c r="A16" s="4" t="inlineStr">
        <is>
          <t>WST</t>
        </is>
      </c>
      <c r="B16" s="17" t="inlineStr">
        <is>
          <t>GLP-1</t>
        </is>
      </c>
      <c r="C16" s="8" t="inlineStr">
        <is>
          <t>legacy</t>
        </is>
      </c>
      <c r="D16" s="18" t="n">
        <v>0.04</v>
      </c>
      <c r="E16" s="20" t="inlineStr">
        <is>
          <t>never add</t>
        </is>
      </c>
      <c r="F16" s="18" t="n">
        <v>0.08</v>
      </c>
      <c r="G16" s="19" t="n">
        <v>0.04</v>
      </c>
      <c r="H16" s="8" t="inlineStr">
        <is>
          <t>Legacy. Never add; components at ~30x</t>
        </is>
      </c>
    </row>
    <row r="17">
      <c r="A17" s="9" t="inlineStr">
        <is>
          <t>VRT</t>
        </is>
      </c>
      <c r="B17" s="17" t="inlineStr">
        <is>
          <t>Power &amp; grid</t>
        </is>
      </c>
      <c r="C17" s="8" t="inlineStr">
        <is>
          <t>core</t>
        </is>
      </c>
      <c r="D17" s="18" t="n">
        <v>0.05</v>
      </c>
      <c r="E17" s="19" t="n">
        <v>0.025</v>
      </c>
      <c r="F17" s="18" t="n">
        <v>0.1</v>
      </c>
      <c r="G17" s="19" t="n">
        <v>0.075</v>
      </c>
      <c r="H17" s="8" t="inlineStr">
        <is>
          <t>Data-center power and cooling</t>
        </is>
      </c>
    </row>
    <row r="18">
      <c r="A18" s="9" t="inlineStr">
        <is>
          <t>GEV</t>
        </is>
      </c>
      <c r="B18" s="17" t="inlineStr">
        <is>
          <t>Power &amp; grid</t>
        </is>
      </c>
      <c r="C18" s="8" t="inlineStr">
        <is>
          <t>core</t>
        </is>
      </c>
      <c r="D18" s="18" t="n">
        <v>0.05</v>
      </c>
      <c r="E18" s="19" t="n">
        <v>0.025</v>
      </c>
      <c r="F18" s="18" t="n">
        <v>0.1</v>
      </c>
      <c r="G18" s="19" t="n">
        <v>0.075</v>
      </c>
      <c r="H18" s="8" t="inlineStr">
        <is>
          <t>Turbines and grid gear. Chart-check before buying</t>
        </is>
      </c>
    </row>
    <row r="19">
      <c r="A19" s="9" t="inlineStr">
        <is>
          <t>CEG</t>
        </is>
      </c>
      <c r="B19" s="17" t="inlineStr">
        <is>
          <t>Power &amp; grid</t>
        </is>
      </c>
      <c r="C19" s="8" t="inlineStr">
        <is>
          <t>core</t>
        </is>
      </c>
      <c r="D19" s="18" t="n">
        <v>0.05</v>
      </c>
      <c r="E19" s="19" t="n">
        <v>0.025</v>
      </c>
      <c r="F19" s="18" t="n">
        <v>0.1</v>
      </c>
      <c r="G19" s="19" t="n">
        <v>0.075</v>
      </c>
      <c r="H19" s="8" t="inlineStr">
        <is>
          <t>Nuclear fleet. Chart-check before buying</t>
        </is>
      </c>
    </row>
    <row r="20">
      <c r="A20" s="10" t="inlineStr">
        <is>
          <t>VOO</t>
        </is>
      </c>
      <c r="B20" s="17" t="inlineStr">
        <is>
          <t>Index</t>
        </is>
      </c>
      <c r="C20" s="8" t="inlineStr">
        <is>
          <t>legacy</t>
        </is>
      </c>
      <c r="D20" s="18" t="n">
        <v>0.05</v>
      </c>
      <c r="E20" s="20" t="inlineStr">
        <is>
          <t>never add</t>
        </is>
      </c>
      <c r="F20" s="18" t="n">
        <v>0.1</v>
      </c>
      <c r="G20" s="19" t="n">
        <v>0.075</v>
      </c>
      <c r="H20" s="8" t="inlineStr">
        <is>
          <t>Legacy. Never add; harmless ballast</t>
        </is>
      </c>
    </row>
    <row r="21">
      <c r="A21" s="10" t="inlineStr">
        <is>
          <t>SGOV</t>
        </is>
      </c>
      <c r="B21" s="17" t="inlineStr">
        <is>
          <t>Reservoir</t>
        </is>
      </c>
      <c r="C21" s="8" t="inlineStr">
        <is>
          <t>reservoir</t>
        </is>
      </c>
      <c r="D21" s="18" t="n">
        <v>0.05</v>
      </c>
      <c r="E21" s="19" t="n">
        <v>0.03</v>
      </c>
      <c r="F21" s="20" t="inlineStr">
        <is>
          <t>n/a</t>
        </is>
      </c>
      <c r="G21" s="19" t="n">
        <v>0.05</v>
      </c>
      <c r="H21" s="8" t="inlineStr">
        <is>
          <t>Refill to 5% from trims if below 3%</t>
        </is>
      </c>
    </row>
    <row r="23">
      <c r="A23" s="12" t="inlineStr">
        <is>
          <t>The one sleeve check</t>
        </is>
      </c>
    </row>
    <row r="24" ht="24" customHeight="1">
      <c r="A24" s="2" t="inlineStr">
        <is>
          <t>AI ceiling: if NVDA + TSM + AMD + AVGO + MSFT + AMZN together exceed 55% of the account, trim the largest of them back until the group is 50%. This catches the case where every chip name rises together and none trips its own cap. It is one addition on the Quarterly check tab.</t>
        </is>
      </c>
    </row>
    <row r="25" ht="24" customHeight="1">
      <c r="A25" s="2" t="inlineStr">
        <is>
          <t>Rule of thumb for trims: sell back to 'Trim back to', send the cash to SGOV first (until it is 5%), then to whichever core name has the lowest weight divided by target.</t>
        </is>
      </c>
    </row>
    <row r="26" ht="24" customHeight="1">
      <c r="A26" s="2" t="inlineStr">
        <is>
          <t>New money: always to the core name with the lowest weight divided by target. Never to legacy or speculative names. This is what makes the portfolio converge without any selling.</t>
        </is>
      </c>
    </row>
    <row r="27" ht="24" customHeight="1">
      <c r="A27" s="2" t="inlineStr">
        <is>
          <t>Kill switches (from the memo) are separate from bands and are about facts, not prices: hyperscaler capex guided down; a 40%+ GLP-1 price cut or class-wide safety label; fed funds above 5%; a regulator blocking nuclear co-location deals.</t>
        </is>
      </c>
    </row>
  </sheetData>
  <mergeCells count="5">
    <mergeCell ref="A26:H26"/>
    <mergeCell ref="A25:H25"/>
    <mergeCell ref="A24:H24"/>
    <mergeCell ref="A2:H2"/>
    <mergeCell ref="A27:H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
  <sheetViews>
    <sheetView workbookViewId="0">
      <pane ySplit="4" topLeftCell="A5" activePane="bottomLeft" state="frozen"/>
      <selection pane="bottomLeft" activeCell="A1" sqref="A1"/>
    </sheetView>
  </sheetViews>
  <sheetFormatPr baseColWidth="8" defaultRowHeight="15"/>
  <cols>
    <col width="9" customWidth="1" min="1" max="1"/>
    <col width="10" customWidth="1" min="2" max="2"/>
    <col width="8" customWidth="1" min="3" max="3"/>
    <col width="10" customWidth="1" min="4" max="4"/>
    <col width="10" customWidth="1" min="5" max="5"/>
    <col width="12" customWidth="1" min="6" max="6"/>
    <col width="20" customWidth="1" min="7" max="7"/>
    <col width="9" customWidth="1" min="8" max="8"/>
    <col width="38" customWidth="1" min="9" max="9"/>
    <col width="14" customWidth="1" min="10" max="10"/>
  </cols>
  <sheetData>
    <row r="1">
      <c r="A1" s="1" t="inlineStr">
        <is>
          <t>Quarterly check: type today's position values into the yellow column</t>
        </is>
      </c>
    </row>
    <row r="2">
      <c r="A2" s="16" t="inlineStr">
        <is>
          <t>Everything else is a formula. Prefilled with the values right after tomorrow's buys as an example. Opens with live numbers in Excel or Google Sheets.</t>
        </is>
      </c>
    </row>
    <row r="4" ht="28" customHeight="1">
      <c r="A4" s="3" t="inlineStr">
        <is>
          <t>Ticker</t>
        </is>
      </c>
      <c r="B4" s="3" t="inlineStr">
        <is>
          <t>Type</t>
        </is>
      </c>
      <c r="C4" s="3" t="inlineStr">
        <is>
          <t>Target</t>
        </is>
      </c>
      <c r="D4" s="3" t="inlineStr">
        <is>
          <t>Add below</t>
        </is>
      </c>
      <c r="E4" s="3" t="inlineStr">
        <is>
          <t>Trim above</t>
        </is>
      </c>
      <c r="F4" s="3" t="inlineStr">
        <is>
          <t>Trim back to</t>
        </is>
      </c>
      <c r="G4" s="3" t="inlineStr">
        <is>
          <t>Current value (INPUT)</t>
        </is>
      </c>
      <c r="H4" s="3" t="inlineStr">
        <is>
          <t>Weight</t>
        </is>
      </c>
      <c r="I4" s="3" t="inlineStr">
        <is>
          <t>Action</t>
        </is>
      </c>
      <c r="J4" s="3" t="inlineStr">
        <is>
          <t>Dollars to trim</t>
        </is>
      </c>
    </row>
    <row r="5">
      <c r="A5" s="11" t="inlineStr">
        <is>
          <t>NVDA</t>
        </is>
      </c>
      <c r="B5" s="8" t="inlineStr">
        <is>
          <t>core</t>
        </is>
      </c>
      <c r="C5" s="21" t="n">
        <v>0.11</v>
      </c>
      <c r="D5" s="7" t="n">
        <v>0.055</v>
      </c>
      <c r="E5" s="21" t="n">
        <v>0.22</v>
      </c>
      <c r="F5" s="7" t="n">
        <v>0.165</v>
      </c>
      <c r="G5" s="22" t="n">
        <v>53.85</v>
      </c>
      <c r="H5" s="7">
        <f>IF($G$22&gt;0,G5/$G$22,0)</f>
        <v/>
      </c>
      <c r="I5" s="14">
        <f>IF(H5&gt;E5,"TRIM back to "&amp;TEXT(F5,"0.0%"),IF(AND(D5&lt;&gt;"",H5&lt;D5),"ADD FIRST with new money","Hold"))</f>
        <v/>
      </c>
      <c r="J5" s="6">
        <f>IF(AND(E5&lt;&gt;"",H5&gt;E5),(H5-F5)*$G$22,0)</f>
        <v/>
      </c>
    </row>
    <row r="6">
      <c r="A6" s="11" t="inlineStr">
        <is>
          <t>TSM</t>
        </is>
      </c>
      <c r="B6" s="8" t="inlineStr">
        <is>
          <t>core</t>
        </is>
      </c>
      <c r="C6" s="21" t="n">
        <v>0.08</v>
      </c>
      <c r="D6" s="7" t="n">
        <v>0.04</v>
      </c>
      <c r="E6" s="21" t="n">
        <v>0.16</v>
      </c>
      <c r="F6" s="7" t="n">
        <v>0.12</v>
      </c>
      <c r="G6" s="22" t="n">
        <v>38.47</v>
      </c>
      <c r="H6" s="7">
        <f>IF($G$22&gt;0,G6/$G$22,0)</f>
        <v/>
      </c>
      <c r="I6" s="14">
        <f>IF(H6&gt;E6,"TRIM back to "&amp;TEXT(F6,"0.0%"),IF(AND(D6&lt;&gt;"",H6&lt;D6),"ADD FIRST with new money","Hold"))</f>
        <v/>
      </c>
      <c r="J6" s="6">
        <f>IF(AND(E6&lt;&gt;"",H6&gt;E6),(H6-F6)*$G$22,0)</f>
        <v/>
      </c>
    </row>
    <row r="7">
      <c r="A7" s="11" t="inlineStr">
        <is>
          <t>AMD</t>
        </is>
      </c>
      <c r="B7" s="8" t="inlineStr">
        <is>
          <t>core</t>
        </is>
      </c>
      <c r="C7" s="21" t="n">
        <v>0.07000000000000001</v>
      </c>
      <c r="D7" s="7" t="n">
        <v>0.035</v>
      </c>
      <c r="E7" s="21" t="n">
        <v>0.14</v>
      </c>
      <c r="F7" s="7" t="n">
        <v>0.105</v>
      </c>
      <c r="G7" s="22" t="n">
        <v>33.76</v>
      </c>
      <c r="H7" s="7">
        <f>IF($G$22&gt;0,G7/$G$22,0)</f>
        <v/>
      </c>
      <c r="I7" s="14">
        <f>IF(H7&gt;E7,"TRIM back to "&amp;TEXT(F7,"0.0%"),IF(AND(D7&lt;&gt;"",H7&lt;D7),"ADD FIRST with new money","Hold"))</f>
        <v/>
      </c>
      <c r="J7" s="6">
        <f>IF(AND(E7&lt;&gt;"",H7&gt;E7),(H7-F7)*$G$22,0)</f>
        <v/>
      </c>
    </row>
    <row r="8">
      <c r="A8" s="11" t="inlineStr">
        <is>
          <t>MSFT</t>
        </is>
      </c>
      <c r="B8" s="8" t="inlineStr">
        <is>
          <t>core</t>
        </is>
      </c>
      <c r="C8" s="21" t="n">
        <v>0.05</v>
      </c>
      <c r="D8" s="7" t="n">
        <v>0.025</v>
      </c>
      <c r="E8" s="21" t="n">
        <v>0.1</v>
      </c>
      <c r="F8" s="7" t="n">
        <v>0.075</v>
      </c>
      <c r="G8" s="22" t="n">
        <v>27.22</v>
      </c>
      <c r="H8" s="7">
        <f>IF($G$22&gt;0,G8/$G$22,0)</f>
        <v/>
      </c>
      <c r="I8" s="14">
        <f>IF(H8&gt;E8,"TRIM back to "&amp;TEXT(F8,"0.0%"),IF(AND(D8&lt;&gt;"",H8&lt;D8),"ADD FIRST with new money","Hold"))</f>
        <v/>
      </c>
      <c r="J8" s="6">
        <f>IF(AND(E8&lt;&gt;"",H8&gt;E8),(H8-F8)*$G$22,0)</f>
        <v/>
      </c>
    </row>
    <row r="9">
      <c r="A9" s="11" t="inlineStr">
        <is>
          <t>AVGO</t>
        </is>
      </c>
      <c r="B9" s="8" t="inlineStr">
        <is>
          <t>core</t>
        </is>
      </c>
      <c r="C9" s="21" t="n">
        <v>0.05</v>
      </c>
      <c r="D9" s="7" t="n">
        <v>0.025</v>
      </c>
      <c r="E9" s="21" t="n">
        <v>0.1</v>
      </c>
      <c r="F9" s="7" t="n">
        <v>0.075</v>
      </c>
      <c r="G9" s="22" t="n">
        <v>25.01</v>
      </c>
      <c r="H9" s="7">
        <f>IF($G$22&gt;0,G9/$G$22,0)</f>
        <v/>
      </c>
      <c r="I9" s="14">
        <f>IF(H9&gt;E9,"TRIM back to "&amp;TEXT(F9,"0.0%"),IF(AND(D9&lt;&gt;"",H9&lt;D9),"ADD FIRST with new money","Hold"))</f>
        <v/>
      </c>
      <c r="J9" s="6">
        <f>IF(AND(E9&lt;&gt;"",H9&gt;E9),(H9-F9)*$G$22,0)</f>
        <v/>
      </c>
    </row>
    <row r="10">
      <c r="A10" s="11" t="inlineStr">
        <is>
          <t>AMZN</t>
        </is>
      </c>
      <c r="B10" s="8" t="inlineStr">
        <is>
          <t>legacy</t>
        </is>
      </c>
      <c r="C10" s="21" t="n">
        <v>0.03</v>
      </c>
      <c r="D10" s="7" t="n"/>
      <c r="E10" s="21" t="n">
        <v>0.06</v>
      </c>
      <c r="F10" s="7" t="n">
        <v>0.03</v>
      </c>
      <c r="G10" s="22" t="n">
        <v>16.25</v>
      </c>
      <c r="H10" s="7">
        <f>IF($G$22&gt;0,G10/$G$22,0)</f>
        <v/>
      </c>
      <c r="I10" s="14">
        <f>IF(H10&gt;E10,"TRIM back to "&amp;TEXT(F10,"0.0%"),IF(AND(D10&lt;&gt;"",H10&lt;D10),"ADD FIRST with new money","Hold"))</f>
        <v/>
      </c>
      <c r="J10" s="6">
        <f>IF(AND(E10&lt;&gt;"",H10&gt;E10),(H10-F10)*$G$22,0)</f>
        <v/>
      </c>
    </row>
    <row r="11">
      <c r="A11" s="4" t="inlineStr">
        <is>
          <t>LLY</t>
        </is>
      </c>
      <c r="B11" s="8" t="inlineStr">
        <is>
          <t>core</t>
        </is>
      </c>
      <c r="C11" s="21" t="n">
        <v>0.16</v>
      </c>
      <c r="D11" s="7" t="n">
        <v>0.08</v>
      </c>
      <c r="E11" s="21" t="n">
        <v>0.32</v>
      </c>
      <c r="F11" s="7" t="n">
        <v>0.24</v>
      </c>
      <c r="G11" s="22" t="n">
        <v>78.52</v>
      </c>
      <c r="H11" s="7">
        <f>IF($G$22&gt;0,G11/$G$22,0)</f>
        <v/>
      </c>
      <c r="I11" s="14">
        <f>IF(H11&gt;E11,"TRIM back to "&amp;TEXT(F11,"0.0%"),IF(AND(D11&lt;&gt;"",H11&lt;D11),"ADD FIRST with new money","Hold"))</f>
        <v/>
      </c>
      <c r="J11" s="6">
        <f>IF(AND(E11&lt;&gt;"",H11&gt;E11),(H11-F11)*$G$22,0)</f>
        <v/>
      </c>
    </row>
    <row r="12">
      <c r="A12" s="4" t="inlineStr">
        <is>
          <t>NVO</t>
        </is>
      </c>
      <c r="B12" s="8" t="inlineStr">
        <is>
          <t>core</t>
        </is>
      </c>
      <c r="C12" s="21" t="n">
        <v>0.07000000000000001</v>
      </c>
      <c r="D12" s="7" t="n">
        <v>0.035</v>
      </c>
      <c r="E12" s="21" t="n">
        <v>0.14</v>
      </c>
      <c r="F12" s="7" t="n">
        <v>0.105</v>
      </c>
      <c r="G12" s="22" t="n">
        <v>35</v>
      </c>
      <c r="H12" s="7">
        <f>IF($G$22&gt;0,G12/$G$22,0)</f>
        <v/>
      </c>
      <c r="I12" s="14">
        <f>IF(H12&gt;E12,"TRIM back to "&amp;TEXT(F12,"0.0%"),IF(AND(D12&lt;&gt;"",H12&lt;D12),"ADD FIRST with new money","Hold"))</f>
        <v/>
      </c>
      <c r="J12" s="6">
        <f>IF(AND(E12&lt;&gt;"",H12&gt;E12),(H12-F12)*$G$22,0)</f>
        <v/>
      </c>
    </row>
    <row r="13">
      <c r="A13" s="4" t="inlineStr">
        <is>
          <t>AMGN</t>
        </is>
      </c>
      <c r="B13" s="8" t="inlineStr">
        <is>
          <t>core</t>
        </is>
      </c>
      <c r="C13" s="21" t="n">
        <v>0.04</v>
      </c>
      <c r="D13" s="7" t="n">
        <v>0.02</v>
      </c>
      <c r="E13" s="21" t="n">
        <v>0.08</v>
      </c>
      <c r="F13" s="7" t="n">
        <v>0.06</v>
      </c>
      <c r="G13" s="22" t="n">
        <v>20</v>
      </c>
      <c r="H13" s="7">
        <f>IF($G$22&gt;0,G13/$G$22,0)</f>
        <v/>
      </c>
      <c r="I13" s="14">
        <f>IF(H13&gt;E13,"TRIM back to "&amp;TEXT(F13,"0.0%"),IF(AND(D13&lt;&gt;"",H13&lt;D13),"ADD FIRST with new money","Hold"))</f>
        <v/>
      </c>
      <c r="J13" s="6">
        <f>IF(AND(E13&lt;&gt;"",H13&gt;E13),(H13-F13)*$G$22,0)</f>
        <v/>
      </c>
    </row>
    <row r="14">
      <c r="A14" s="4" t="inlineStr">
        <is>
          <t>GPCR</t>
        </is>
      </c>
      <c r="B14" s="8" t="inlineStr">
        <is>
          <t>spec</t>
        </is>
      </c>
      <c r="C14" s="21" t="n">
        <v>0.02</v>
      </c>
      <c r="D14" s="7" t="n"/>
      <c r="E14" s="21" t="n">
        <v>0.06</v>
      </c>
      <c r="F14" s="7" t="n">
        <v>0.03</v>
      </c>
      <c r="G14" s="22" t="n">
        <v>9.93</v>
      </c>
      <c r="H14" s="7">
        <f>IF($G$22&gt;0,G14/$G$22,0)</f>
        <v/>
      </c>
      <c r="I14" s="14">
        <f>IF(H14&gt;E14,"TRIM back to "&amp;TEXT(F14,"0.0%"),IF(AND(D14&lt;&gt;"",H14&lt;D14),"ADD FIRST with new money","Hold"))</f>
        <v/>
      </c>
      <c r="J14" s="6">
        <f>IF(AND(E14&lt;&gt;"",H14&gt;E14),(H14-F14)*$G$22,0)</f>
        <v/>
      </c>
    </row>
    <row r="15">
      <c r="A15" s="4" t="inlineStr">
        <is>
          <t>HIMS</t>
        </is>
      </c>
      <c r="B15" s="8" t="inlineStr">
        <is>
          <t>legacy</t>
        </is>
      </c>
      <c r="C15" s="21" t="n">
        <v>0.04</v>
      </c>
      <c r="D15" s="7" t="n"/>
      <c r="E15" s="21" t="n">
        <v>0.08</v>
      </c>
      <c r="F15" s="7" t="n">
        <v>0.04</v>
      </c>
      <c r="G15" s="22" t="n">
        <v>18.37</v>
      </c>
      <c r="H15" s="7">
        <f>IF($G$22&gt;0,G15/$G$22,0)</f>
        <v/>
      </c>
      <c r="I15" s="14">
        <f>IF(H15&gt;E15,"TRIM back to "&amp;TEXT(F15,"0.0%"),IF(AND(D15&lt;&gt;"",H15&lt;D15),"ADD FIRST with new money","Hold"))</f>
        <v/>
      </c>
      <c r="J15" s="6">
        <f>IF(AND(E15&lt;&gt;"",H15&gt;E15),(H15-F15)*$G$22,0)</f>
        <v/>
      </c>
    </row>
    <row r="16">
      <c r="A16" s="4" t="inlineStr">
        <is>
          <t>WST</t>
        </is>
      </c>
      <c r="B16" s="8" t="inlineStr">
        <is>
          <t>legacy</t>
        </is>
      </c>
      <c r="C16" s="21" t="n">
        <v>0.04</v>
      </c>
      <c r="D16" s="7" t="n"/>
      <c r="E16" s="21" t="n">
        <v>0.08</v>
      </c>
      <c r="F16" s="7" t="n">
        <v>0.04</v>
      </c>
      <c r="G16" s="22" t="n">
        <v>17.98</v>
      </c>
      <c r="H16" s="7">
        <f>IF($G$22&gt;0,G16/$G$22,0)</f>
        <v/>
      </c>
      <c r="I16" s="14">
        <f>IF(H16&gt;E16,"TRIM back to "&amp;TEXT(F16,"0.0%"),IF(AND(D16&lt;&gt;"",H16&lt;D16),"ADD FIRST with new money","Hold"))</f>
        <v/>
      </c>
      <c r="J16" s="6">
        <f>IF(AND(E16&lt;&gt;"",H16&gt;E16),(H16-F16)*$G$22,0)</f>
        <v/>
      </c>
    </row>
    <row r="17">
      <c r="A17" s="9" t="inlineStr">
        <is>
          <t>VRT</t>
        </is>
      </c>
      <c r="B17" s="8" t="inlineStr">
        <is>
          <t>core</t>
        </is>
      </c>
      <c r="C17" s="21" t="n">
        <v>0.05</v>
      </c>
      <c r="D17" s="7" t="n">
        <v>0.025</v>
      </c>
      <c r="E17" s="21" t="n">
        <v>0.1</v>
      </c>
      <c r="F17" s="7" t="n">
        <v>0.075</v>
      </c>
      <c r="G17" s="22" t="n">
        <v>25.34</v>
      </c>
      <c r="H17" s="7">
        <f>IF($G$22&gt;0,G17/$G$22,0)</f>
        <v/>
      </c>
      <c r="I17" s="14">
        <f>IF(H17&gt;E17,"TRIM back to "&amp;TEXT(F17,"0.0%"),IF(AND(D17&lt;&gt;"",H17&lt;D17),"ADD FIRST with new money","Hold"))</f>
        <v/>
      </c>
      <c r="J17" s="6">
        <f>IF(AND(E17&lt;&gt;"",H17&gt;E17),(H17-F17)*$G$22,0)</f>
        <v/>
      </c>
    </row>
    <row r="18">
      <c r="A18" s="9" t="inlineStr">
        <is>
          <t>GEV</t>
        </is>
      </c>
      <c r="B18" s="8" t="inlineStr">
        <is>
          <t>core</t>
        </is>
      </c>
      <c r="C18" s="21" t="n">
        <v>0.05</v>
      </c>
      <c r="D18" s="7" t="n">
        <v>0.025</v>
      </c>
      <c r="E18" s="21" t="n">
        <v>0.1</v>
      </c>
      <c r="F18" s="7" t="n">
        <v>0.075</v>
      </c>
      <c r="G18" s="22" t="n">
        <v>25</v>
      </c>
      <c r="H18" s="7">
        <f>IF($G$22&gt;0,G18/$G$22,0)</f>
        <v/>
      </c>
      <c r="I18" s="14">
        <f>IF(H18&gt;E18,"TRIM back to "&amp;TEXT(F18,"0.0%"),IF(AND(D18&lt;&gt;"",H18&lt;D18),"ADD FIRST with new money","Hold"))</f>
        <v/>
      </c>
      <c r="J18" s="6">
        <f>IF(AND(E18&lt;&gt;"",H18&gt;E18),(H18-F18)*$G$22,0)</f>
        <v/>
      </c>
    </row>
    <row r="19">
      <c r="A19" s="9" t="inlineStr">
        <is>
          <t>CEG</t>
        </is>
      </c>
      <c r="B19" s="8" t="inlineStr">
        <is>
          <t>core</t>
        </is>
      </c>
      <c r="C19" s="21" t="n">
        <v>0.05</v>
      </c>
      <c r="D19" s="7" t="n">
        <v>0.025</v>
      </c>
      <c r="E19" s="21" t="n">
        <v>0.1</v>
      </c>
      <c r="F19" s="7" t="n">
        <v>0.075</v>
      </c>
      <c r="G19" s="22" t="n">
        <v>25</v>
      </c>
      <c r="H19" s="7">
        <f>IF($G$22&gt;0,G19/$G$22,0)</f>
        <v/>
      </c>
      <c r="I19" s="14">
        <f>IF(H19&gt;E19,"TRIM back to "&amp;TEXT(F19,"0.0%"),IF(AND(D19&lt;&gt;"",H19&lt;D19),"ADD FIRST with new money","Hold"))</f>
        <v/>
      </c>
      <c r="J19" s="6">
        <f>IF(AND(E19&lt;&gt;"",H19&gt;E19),(H19-F19)*$G$22,0)</f>
        <v/>
      </c>
    </row>
    <row r="20">
      <c r="A20" s="10" t="inlineStr">
        <is>
          <t>VOO</t>
        </is>
      </c>
      <c r="B20" s="8" t="inlineStr">
        <is>
          <t>legacy</t>
        </is>
      </c>
      <c r="C20" s="21" t="n">
        <v>0.05</v>
      </c>
      <c r="D20" s="7" t="n"/>
      <c r="E20" s="21" t="n">
        <v>0.1</v>
      </c>
      <c r="F20" s="7" t="n">
        <v>0.075</v>
      </c>
      <c r="G20" s="22" t="n">
        <v>25.93</v>
      </c>
      <c r="H20" s="7">
        <f>IF($G$22&gt;0,G20/$G$22,0)</f>
        <v/>
      </c>
      <c r="I20" s="14">
        <f>IF(H20&gt;E20,"TRIM back to "&amp;TEXT(F20,"0.0%"),IF(AND(D20&lt;&gt;"",H20&lt;D20),"ADD FIRST with new money","Hold"))</f>
        <v/>
      </c>
      <c r="J20" s="6">
        <f>IF(AND(E20&lt;&gt;"",H20&gt;E20),(H20-F20)*$G$22,0)</f>
        <v/>
      </c>
    </row>
    <row r="21">
      <c r="A21" s="10" t="inlineStr">
        <is>
          <t>SGOV</t>
        </is>
      </c>
      <c r="B21" s="8" t="inlineStr">
        <is>
          <t>reservoir</t>
        </is>
      </c>
      <c r="C21" s="21" t="n">
        <v>0.05</v>
      </c>
      <c r="D21" s="7" t="n">
        <v>0.03</v>
      </c>
      <c r="E21" s="21" t="n"/>
      <c r="F21" s="7" t="n">
        <v>0.05</v>
      </c>
      <c r="G21" s="22" t="n">
        <v>25</v>
      </c>
      <c r="H21" s="7">
        <f>IF($G$22&gt;0,G21/$G$22,0)</f>
        <v/>
      </c>
      <c r="I21" s="14">
        <f>IF(H21&lt;D21,"REFILL to 5% from the biggest trim","Hold")</f>
        <v/>
      </c>
      <c r="J21" s="6">
        <f>IF(AND(E21&lt;&gt;"",H21&gt;E21),(H21-F21)*$G$22,0)</f>
        <v/>
      </c>
    </row>
    <row r="22">
      <c r="A22" s="12" t="inlineStr">
        <is>
          <t>Total</t>
        </is>
      </c>
      <c r="G22" s="13">
        <f>SUM(G5:G21)</f>
        <v/>
      </c>
      <c r="H22" s="23">
        <f>SUM(H5:H21)</f>
        <v/>
      </c>
    </row>
    <row r="24">
      <c r="A24" s="12" t="inlineStr">
        <is>
          <t>The one sleeve check</t>
        </is>
      </c>
    </row>
    <row r="25">
      <c r="A25" s="24" t="inlineStr">
        <is>
          <t>AI compute + platforms (NVDA, TSM, AMD, AVGO, MSFT, AMZN)</t>
        </is>
      </c>
      <c r="G25" s="25">
        <f>SUM(G5,G6,G7,G9,G8,G10)</f>
        <v/>
      </c>
      <c r="H25" s="26">
        <f>IF(G22&gt;0,G25/G22,0)</f>
        <v/>
      </c>
      <c r="I25" s="12">
        <f>IF(H25&gt;0.55,"TRIM largest AI names until group is 50%","OK")</f>
        <v/>
      </c>
      <c r="J25" s="25">
        <f>IF(H25&gt;0.55,(H25-0.5)*G22,0)</f>
        <v/>
      </c>
    </row>
    <row r="27" ht="24" customHeight="1">
      <c r="A27" s="2" t="inlineStr">
        <is>
          <t>How to read it: 'Hold' means do nothing. 'TRIM' means sell the 'Dollars to trim' amount and send it to SGOV first, then to the 'ADD FIRST' name if there is one. 'ADD FIRST' only matters when you have new money; it is never a forced buy.</t>
        </is>
      </c>
    </row>
    <row r="28" ht="24" customHeight="1">
      <c r="A28" s="2" t="inlineStr">
        <is>
          <t>Legacy and speculative rows have no 'Add below', so they can only ever say Hold or TRIM.</t>
        </is>
      </c>
    </row>
  </sheetData>
  <mergeCells count="4">
    <mergeCell ref="A28:J28"/>
    <mergeCell ref="A27:J27"/>
    <mergeCell ref="A25:F25"/>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2" customWidth="1" min="2" max="2"/>
    <col width="14" customWidth="1" min="3" max="3"/>
    <col width="14" customWidth="1" min="4" max="4"/>
  </cols>
  <sheetData>
    <row r="1">
      <c r="A1" s="12" t="inlineStr">
        <is>
          <t>Zero to Hero holdings as shown in Robinhood, Sept 17 2026 close (transcribed from screenshots)</t>
        </is>
      </c>
    </row>
    <row r="3" ht="28" customHeight="1">
      <c r="A3" s="3" t="inlineStr">
        <is>
          <t>Ticker</t>
        </is>
      </c>
      <c r="B3" s="3" t="inlineStr">
        <is>
          <t>Shares</t>
        </is>
      </c>
      <c r="C3" s="3" t="inlineStr">
        <is>
          <t>Market value</t>
        </is>
      </c>
      <c r="D3" s="3" t="inlineStr">
        <is>
          <t>Implied price</t>
        </is>
      </c>
    </row>
    <row r="4">
      <c r="A4" s="12" t="inlineStr">
        <is>
          <t>NVDA</t>
        </is>
      </c>
      <c r="B4" s="27" t="n">
        <v>0.180103</v>
      </c>
      <c r="C4" s="28" t="n">
        <v>38.85</v>
      </c>
      <c r="D4" s="29">
        <f>C4/B4</f>
        <v/>
      </c>
    </row>
    <row r="5">
      <c r="A5" s="12" t="inlineStr">
        <is>
          <t>LLY</t>
        </is>
      </c>
      <c r="B5" s="27" t="n">
        <v>0.032006</v>
      </c>
      <c r="C5" s="28" t="n">
        <v>36.52</v>
      </c>
      <c r="D5" s="29">
        <f>C5/B5</f>
        <v/>
      </c>
    </row>
    <row r="6">
      <c r="A6" s="12" t="inlineStr">
        <is>
          <t>AMD</t>
        </is>
      </c>
      <c r="B6" s="27" t="n">
        <v>0.06508899999999999</v>
      </c>
      <c r="C6" s="28" t="n">
        <v>33.76</v>
      </c>
      <c r="D6" s="29">
        <f>C6/B6</f>
        <v/>
      </c>
    </row>
    <row r="7">
      <c r="A7" s="12" t="inlineStr">
        <is>
          <t>HIMS</t>
        </is>
      </c>
      <c r="B7" s="27" t="n">
        <v>0.653246</v>
      </c>
      <c r="C7" s="28" t="n">
        <v>18.37</v>
      </c>
      <c r="D7" s="29">
        <f>C7/B7</f>
        <v/>
      </c>
    </row>
    <row r="8">
      <c r="A8" s="12" t="inlineStr">
        <is>
          <t>VOO</t>
        </is>
      </c>
      <c r="B8" s="27" t="n">
        <v>0.037178</v>
      </c>
      <c r="C8" s="28" t="n">
        <v>25.93</v>
      </c>
      <c r="D8" s="29">
        <f>C8/B8</f>
        <v/>
      </c>
    </row>
    <row r="9">
      <c r="A9" s="12" t="inlineStr">
        <is>
          <t>TSM</t>
        </is>
      </c>
      <c r="B9" s="27" t="n">
        <v>0.055741</v>
      </c>
      <c r="C9" s="28" t="n">
        <v>23.47</v>
      </c>
      <c r="D9" s="29">
        <f>C9/B9</f>
        <v/>
      </c>
    </row>
    <row r="10">
      <c r="A10" s="12" t="inlineStr">
        <is>
          <t>WST</t>
        </is>
      </c>
      <c r="B10" s="27" t="n">
        <v>0.049693</v>
      </c>
      <c r="C10" s="28" t="n">
        <v>17.98</v>
      </c>
      <c r="D10" s="29">
        <f>C10/B10</f>
        <v/>
      </c>
    </row>
    <row r="11">
      <c r="A11" s="12" t="inlineStr">
        <is>
          <t>AMZN</t>
        </is>
      </c>
      <c r="B11" s="27" t="n">
        <v>0.065466</v>
      </c>
      <c r="C11" s="28" t="n">
        <v>16.25</v>
      </c>
      <c r="D11" s="29">
        <f>C11/B11</f>
        <v/>
      </c>
    </row>
    <row r="12">
      <c r="A12" s="12" t="inlineStr">
        <is>
          <t>MSFT</t>
        </is>
      </c>
      <c r="B12" s="27" t="n">
        <v>0.032864</v>
      </c>
      <c r="C12" s="28" t="n">
        <v>16.22</v>
      </c>
      <c r="D12" s="29">
        <f>C12/B12</f>
        <v/>
      </c>
    </row>
    <row r="13">
      <c r="A13" s="12" t="inlineStr">
        <is>
          <t>AVGO</t>
        </is>
      </c>
      <c r="B13" s="27" t="n">
        <v>0.03797</v>
      </c>
      <c r="C13" s="28" t="n">
        <v>13.01</v>
      </c>
      <c r="D13" s="29">
        <f>C13/B13</f>
        <v/>
      </c>
    </row>
    <row r="14">
      <c r="A14" s="12" t="inlineStr">
        <is>
          <t>VRT</t>
        </is>
      </c>
      <c r="B14" s="27" t="n">
        <v>0.042426</v>
      </c>
      <c r="C14" s="28" t="n">
        <v>10.34</v>
      </c>
      <c r="D14" s="29">
        <f>C14/B14</f>
        <v/>
      </c>
    </row>
    <row r="15">
      <c r="A15" s="12" t="inlineStr">
        <is>
          <t>GPCR</t>
        </is>
      </c>
      <c r="B15" s="27" t="n">
        <v>0.249229</v>
      </c>
      <c r="C15" s="28" t="n">
        <v>8.93</v>
      </c>
      <c r="D15" s="29">
        <f>C15/B15</f>
        <v/>
      </c>
    </row>
    <row r="16">
      <c r="A16" s="12" t="inlineStr">
        <is>
          <t>Total</t>
        </is>
      </c>
      <c r="C16" s="13">
        <f>SUM(C4:C15)</f>
        <v/>
      </c>
    </row>
    <row r="18">
      <c r="A18" s="16" t="inlineStr">
        <is>
          <t>Buying power shown: $0.00. Source: user screenshots, Sept 17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2026-09-17T05:19:39Z</dcterms:created>
  <dcterms:modified xsi:type="dcterms:W3CDTF">2026-09-17T05:19:39Z</dcterms:modified>
</cp:coreProperties>
</file>