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" sheetId="1" state="visible" r:id="rId1"/>
    <sheet name="Rebalance" sheetId="2" state="visible" r:id="rId2"/>
    <sheet name="Current hol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;&quot;-&quot;"/>
    <numFmt numFmtId="165" formatCode="0.000000"/>
    <numFmt numFmtId="166" formatCode="$#,##0.0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</font>
    <font>
      <name val="Arial"/>
      <sz val="9"/>
    </font>
    <font>
      <name val="Arial"/>
      <sz val="10"/>
    </font>
    <font>
      <name val="Arial"/>
      <b val="1"/>
      <color rgb="00B42318"/>
    </font>
    <font>
      <name val="Arial"/>
      <b val="1"/>
      <color rgb="001F8A5C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B1F24"/>
      </patternFill>
    </fill>
    <fill>
      <patternFill patternType="solid">
        <fgColor rgb="00E6EEF9"/>
      </patternFill>
    </fill>
    <fill>
      <patternFill patternType="solid">
        <fgColor rgb="00E5F3EC"/>
      </patternFill>
    </fill>
    <fill>
      <patternFill patternType="solid">
        <fgColor rgb="00FBF1DF"/>
      </patternFill>
    </fill>
    <fill>
      <patternFill patternType="solid">
        <fgColor rgb="00F3F5F8"/>
      </patternFill>
    </fill>
  </fills>
  <borders count="2">
    <border>
      <left/>
      <right/>
      <top/>
      <bottom/>
      <diagonal/>
    </border>
    <border>
      <bottom style="thin">
        <color rgb="00D9DEE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9" fillId="0" borderId="0" pivotButton="0" quotePrefix="0" xfId="0"/>
    <xf numFmtId="0" fontId="5" fillId="3" borderId="0" pivotButton="0" quotePrefix="0" xfId="0"/>
    <xf numFmtId="0" fontId="3" fillId="0" borderId="1" pivotButton="0" quotePrefix="0" xfId="0"/>
    <xf numFmtId="0" fontId="9" fillId="0" borderId="1" pivotButton="0" quotePrefix="0" xfId="0"/>
    <xf numFmtId="164" fontId="0" fillId="0" borderId="1" pivotButton="0" quotePrefix="0" xfId="0"/>
    <xf numFmtId="0" fontId="7" fillId="0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10" fillId="0" borderId="0" pivotButton="0" quotePrefix="0" xfId="0"/>
    <xf numFmtId="0" fontId="3" fillId="4" borderId="1" pivotButton="0" quotePrefix="0" xfId="0"/>
    <xf numFmtId="0" fontId="10" fillId="0" borderId="1" pivotButton="0" quotePrefix="0" xfId="0"/>
    <xf numFmtId="9" fontId="0" fillId="0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6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4" borderId="1" pivotButton="0" quotePrefix="0" xfId="0"/>
    <xf numFmtId="9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6" fontId="0" fillId="0" borderId="1" pivotButton="0" quotePrefix="0" xfId="0"/>
    <xf numFmtId="0" fontId="0" fillId="0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3" fillId="7" borderId="1" pivotButton="0" quotePrefix="0" xfId="0"/>
    <xf numFmtId="0" fontId="6" fillId="7" borderId="1" pivotButton="0" quotePrefix="0" xfId="0"/>
    <xf numFmtId="9" fontId="3" fillId="0" borderId="0" pivotButton="0" quotePrefix="0" xfId="0"/>
    <xf numFmtId="0" fontId="8" fillId="0" borderId="0" applyAlignment="1" pivotButton="0" quotePrefix="0" xfId="0">
      <alignment vertical="top" wrapText="1"/>
    </xf>
    <xf numFmtId="165" fontId="4" fillId="0" borderId="0" pivotButton="0" quotePrefix="0" xfId="0"/>
    <xf numFmtId="164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C7" authorId="0" shapeId="0">
      <text>
        <t>All 0.065089 shares. Selling by dollar amount works too; 'Sell All' avoids leaving a stub.</t>
      </text>
    </comment>
    <comment ref="C8" authorId="0" shapeId="0">
      <text>
        <t>All 0.653246 shares. Selling by dollar amount works too; 'Sell All' avoids leaving a stub.</t>
      </text>
    </comment>
    <comment ref="C9" authorId="0" shapeId="0">
      <text>
        <t>All 0.037178 shares. Selling by dollar amount works too; 'Sell All' avoids leaving a stub.</t>
      </text>
    </comment>
    <comment ref="C10" authorId="0" shapeId="0">
      <text>
        <t>All 0.065466 shares. Selling by dollar amount works too; 'Sell All' avoids leaving a stub.</t>
      </text>
    </comment>
    <comment ref="C11" authorId="0" shapeId="0">
      <text>
        <t>All 0.042426 shares. Selling by dollar amount works too; 'Sell All' avoids leaving a stub.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B5" authorId="0" shapeId="0">
      <text>
        <t>From you: $241 available to add. Change this and every target recalculates.</t>
      </text>
    </comment>
    <comment ref="B8" authorId="0" shapeId="0">
      <text>
        <t>Deltas smaller than this are marked HOLD. $1.00 is Robinhood's minimum fractional order, so leave it here unless you want to skip the small trims too.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62" customWidth="1" min="5" max="5"/>
  </cols>
  <sheetData>
    <row r="1">
      <c r="A1" s="1" t="inlineStr">
        <is>
          <t>Orders to enter for tomorrow's open</t>
        </is>
      </c>
    </row>
    <row r="2" ht="26" customHeight="1">
      <c r="A2" s="2" t="inlineStr">
        <is>
          <t>Deposit $241.00 + current holdings $259.63 = $500.63 to allocate. Values computed from the Sept 17, 2026 close. Enter every order as a DOLLAR amount (fractional), not a share count.</t>
        </is>
      </c>
    </row>
    <row r="4">
      <c r="A4" s="3" t="inlineStr">
        <is>
          <t>STEP 1 - SELL (place these first; proceeds fund the buys)</t>
        </is>
      </c>
    </row>
    <row r="5">
      <c r="A5" s="4" t="inlineStr">
        <is>
          <t>Ticker</t>
        </is>
      </c>
      <c r="B5" s="4" t="inlineStr">
        <is>
          <t>Order</t>
        </is>
      </c>
      <c r="C5" s="4" t="inlineStr">
        <is>
          <t>Amount</t>
        </is>
      </c>
      <c r="D5" s="4" t="inlineStr">
        <is>
          <t>Sleeve after</t>
        </is>
      </c>
      <c r="E5" s="4" t="inlineStr">
        <is>
          <t>Why</t>
        </is>
      </c>
    </row>
    <row r="6">
      <c r="A6" s="5" t="inlineStr">
        <is>
          <t>WST</t>
        </is>
      </c>
      <c r="B6" s="6" t="inlineStr">
        <is>
          <t>Sell</t>
        </is>
      </c>
      <c r="C6" s="7" t="n">
        <v>2.96</v>
      </c>
      <c r="D6" s="8" t="inlineStr">
        <is>
          <t>3% target</t>
        </is>
      </c>
      <c r="E6" s="8" t="inlineStr">
        <is>
          <t>Keep; already near target</t>
        </is>
      </c>
    </row>
    <row r="7">
      <c r="A7" s="5" t="inlineStr">
        <is>
          <t>AMD</t>
        </is>
      </c>
      <c r="B7" s="6" t="inlineStr">
        <is>
          <t>Sell ALL</t>
        </is>
      </c>
      <c r="C7" s="7" t="n">
        <v>33.76</v>
      </c>
      <c r="D7" s="8" t="inlineStr">
        <is>
          <t>exited</t>
        </is>
      </c>
      <c r="E7" s="8" t="inlineStr">
        <is>
          <t>Exit; SMH holds AMD at ~5% weight</t>
        </is>
      </c>
    </row>
    <row r="8">
      <c r="A8" s="5" t="inlineStr">
        <is>
          <t>HIMS</t>
        </is>
      </c>
      <c r="B8" s="6" t="inlineStr">
        <is>
          <t>Sell ALL</t>
        </is>
      </c>
      <c r="C8" s="7" t="n">
        <v>18.37</v>
      </c>
      <c r="D8" s="8" t="inlineStr">
        <is>
          <t>exited</t>
        </is>
      </c>
      <c r="E8" s="8" t="inlineStr">
        <is>
          <t>Exit; compounding wound down, now a Wegovy reseller</t>
        </is>
      </c>
    </row>
    <row r="9">
      <c r="A9" s="5" t="inlineStr">
        <is>
          <t>VOO</t>
        </is>
      </c>
      <c r="B9" s="6" t="inlineStr">
        <is>
          <t>Sell ALL</t>
        </is>
      </c>
      <c r="C9" s="7" t="n">
        <v>25.93</v>
      </c>
      <c r="D9" s="8" t="inlineStr">
        <is>
          <t>exited</t>
        </is>
      </c>
      <c r="E9" s="8" t="inlineStr">
        <is>
          <t>Exit; VOO is the kill-switch destination, not a starting position</t>
        </is>
      </c>
    </row>
    <row r="10">
      <c r="A10" s="5" t="inlineStr">
        <is>
          <t>AMZN</t>
        </is>
      </c>
      <c r="B10" s="6" t="inlineStr">
        <is>
          <t>Sell ALL</t>
        </is>
      </c>
      <c r="C10" s="7" t="n">
        <v>16.25</v>
      </c>
      <c r="D10" s="8" t="inlineStr">
        <is>
          <t>exited</t>
        </is>
      </c>
      <c r="E10" s="8" t="inlineStr">
        <is>
          <t>Exit; AWS exposure comes via MSFT/GOOGL in this plan</t>
        </is>
      </c>
    </row>
    <row r="11">
      <c r="A11" s="5" t="inlineStr">
        <is>
          <t>VRT</t>
        </is>
      </c>
      <c r="B11" s="6" t="inlineStr">
        <is>
          <t>Sell ALL</t>
        </is>
      </c>
      <c r="C11" s="7" t="n">
        <v>10.34</v>
      </c>
      <c r="D11" s="8" t="inlineStr">
        <is>
          <t>exited</t>
        </is>
      </c>
      <c r="E11" s="8" t="inlineStr">
        <is>
          <t>Exit; optional keep (see note below)</t>
        </is>
      </c>
    </row>
    <row r="12">
      <c r="B12" s="9" t="inlineStr">
        <is>
          <t>Total raised</t>
        </is>
      </c>
      <c r="C12" s="10" t="n">
        <v>107.61</v>
      </c>
    </row>
    <row r="14">
      <c r="A14" s="11" t="inlineStr">
        <is>
          <t>STEP 2 - BUY (after the sells settle into buying power)</t>
        </is>
      </c>
    </row>
    <row r="15">
      <c r="A15" s="4" t="inlineStr">
        <is>
          <t>Ticker</t>
        </is>
      </c>
      <c r="B15" s="4" t="inlineStr">
        <is>
          <t>Order</t>
        </is>
      </c>
      <c r="C15" s="4" t="inlineStr">
        <is>
          <t>Amount</t>
        </is>
      </c>
      <c r="D15" s="4" t="inlineStr">
        <is>
          <t>Target weight</t>
        </is>
      </c>
      <c r="E15" s="4" t="inlineStr">
        <is>
          <t>Why</t>
        </is>
      </c>
    </row>
    <row r="16">
      <c r="A16" s="12" t="inlineStr">
        <is>
          <t>SMH</t>
        </is>
      </c>
      <c r="B16" s="13" t="inlineStr">
        <is>
          <t>Buy (new)</t>
        </is>
      </c>
      <c r="C16" s="7" t="n">
        <v>50.06</v>
      </c>
      <c r="D16" s="14" t="n">
        <v>0.1</v>
      </c>
      <c r="E16" s="8" t="inlineStr">
        <is>
          <t>New. Semis ETF; replaces direct AMD  -&gt;  ends at $50.06</t>
        </is>
      </c>
    </row>
    <row r="17">
      <c r="A17" s="15" t="inlineStr">
        <is>
          <t>LLY</t>
        </is>
      </c>
      <c r="B17" s="13" t="inlineStr">
        <is>
          <t>Buy (add)</t>
        </is>
      </c>
      <c r="C17" s="7" t="n">
        <v>43.58</v>
      </c>
      <c r="D17" s="14" t="n">
        <v>0.16</v>
      </c>
      <c r="E17" s="8" t="inlineStr">
        <is>
          <t>Keep; top up  -&gt;  ends at $80.10</t>
        </is>
      </c>
    </row>
    <row r="18">
      <c r="A18" s="15" t="inlineStr">
        <is>
          <t>NVO</t>
        </is>
      </c>
      <c r="B18" s="13" t="inlineStr">
        <is>
          <t>Buy (new)</t>
        </is>
      </c>
      <c r="C18" s="7" t="n">
        <v>40.05</v>
      </c>
      <c r="D18" s="14" t="n">
        <v>0.08</v>
      </c>
      <c r="E18" s="8" t="inlineStr">
        <is>
          <t>New  -&gt;  ends at $40.05</t>
        </is>
      </c>
    </row>
    <row r="19">
      <c r="A19" s="12" t="inlineStr">
        <is>
          <t>GOOGL</t>
        </is>
      </c>
      <c r="B19" s="13" t="inlineStr">
        <is>
          <t>Buy (new)</t>
        </is>
      </c>
      <c r="C19" s="7" t="n">
        <v>30.04</v>
      </c>
      <c r="D19" s="14" t="n">
        <v>0.06</v>
      </c>
      <c r="E19" s="8" t="inlineStr">
        <is>
          <t>New  -&gt;  ends at $30.04</t>
        </is>
      </c>
    </row>
    <row r="20">
      <c r="A20" s="15" t="inlineStr">
        <is>
          <t>AMGN</t>
        </is>
      </c>
      <c r="B20" s="13" t="inlineStr">
        <is>
          <t>Buy (new)</t>
        </is>
      </c>
      <c r="C20" s="7" t="n">
        <v>25.03</v>
      </c>
      <c r="D20" s="14" t="n">
        <v>0.05</v>
      </c>
      <c r="E20" s="8" t="inlineStr">
        <is>
          <t>New  -&gt;  ends at $25.03</t>
        </is>
      </c>
    </row>
    <row r="21">
      <c r="A21" s="16" t="inlineStr">
        <is>
          <t>GLDM</t>
        </is>
      </c>
      <c r="B21" s="13" t="inlineStr">
        <is>
          <t>Buy (new)</t>
        </is>
      </c>
      <c r="C21" s="7" t="n">
        <v>25.03</v>
      </c>
      <c r="D21" s="14" t="n">
        <v>0.05</v>
      </c>
      <c r="E21" s="8" t="inlineStr">
        <is>
          <t>New. Gold  -&gt;  ends at $25.03</t>
        </is>
      </c>
    </row>
    <row r="22">
      <c r="A22" s="16" t="inlineStr">
        <is>
          <t>XLE</t>
        </is>
      </c>
      <c r="B22" s="13" t="inlineStr">
        <is>
          <t>Buy (new)</t>
        </is>
      </c>
      <c r="C22" s="7" t="n">
        <v>25.03</v>
      </c>
      <c r="D22" s="14" t="n">
        <v>0.05</v>
      </c>
      <c r="E22" s="8" t="inlineStr">
        <is>
          <t>New. Energy  -&gt;  ends at $25.03</t>
        </is>
      </c>
    </row>
    <row r="23">
      <c r="A23" s="16" t="inlineStr">
        <is>
          <t>SGOV</t>
        </is>
      </c>
      <c r="B23" s="13" t="inlineStr">
        <is>
          <t>Buy (new)</t>
        </is>
      </c>
      <c r="C23" s="7" t="n">
        <v>25.03</v>
      </c>
      <c r="D23" s="14" t="n">
        <v>0.05</v>
      </c>
      <c r="E23" s="8" t="inlineStr">
        <is>
          <t>New. T-bills, rebalancing reservoir  -&gt;  ends at $25.03</t>
        </is>
      </c>
    </row>
    <row r="24">
      <c r="A24" s="12" t="inlineStr">
        <is>
          <t>AVGO</t>
        </is>
      </c>
      <c r="B24" s="13" t="inlineStr">
        <is>
          <t>Buy (add)</t>
        </is>
      </c>
      <c r="C24" s="7" t="n">
        <v>17.03</v>
      </c>
      <c r="D24" s="14" t="n">
        <v>0.06</v>
      </c>
      <c r="E24" s="8" t="inlineStr">
        <is>
          <t>Keep; top up  -&gt;  ends at $30.04</t>
        </is>
      </c>
    </row>
    <row r="25">
      <c r="A25" s="12" t="inlineStr">
        <is>
          <t>TSM</t>
        </is>
      </c>
      <c r="B25" s="13" t="inlineStr">
        <is>
          <t>Buy (add)</t>
        </is>
      </c>
      <c r="C25" s="7" t="n">
        <v>16.58</v>
      </c>
      <c r="D25" s="14" t="n">
        <v>0.08</v>
      </c>
      <c r="E25" s="8" t="inlineStr">
        <is>
          <t>Keep; top up  -&gt;  ends at $40.05</t>
        </is>
      </c>
    </row>
    <row r="26">
      <c r="A26" s="15" t="inlineStr">
        <is>
          <t>PFE</t>
        </is>
      </c>
      <c r="B26" s="13" t="inlineStr">
        <is>
          <t>Buy (new)</t>
        </is>
      </c>
      <c r="C26" s="7" t="n">
        <v>15.02</v>
      </c>
      <c r="D26" s="14" t="n">
        <v>0.03</v>
      </c>
      <c r="E26" s="8" t="inlineStr">
        <is>
          <t>New  -&gt;  ends at $15.02</t>
        </is>
      </c>
    </row>
    <row r="27">
      <c r="A27" s="15" t="inlineStr">
        <is>
          <t>VKTX</t>
        </is>
      </c>
      <c r="B27" s="13" t="inlineStr">
        <is>
          <t>Buy (new)</t>
        </is>
      </c>
      <c r="C27" s="7" t="n">
        <v>15.02</v>
      </c>
      <c r="D27" s="14" t="n">
        <v>0.03</v>
      </c>
      <c r="E27" s="8" t="inlineStr">
        <is>
          <t>New. Speculative; never add later  -&gt;  ends at $15.02</t>
        </is>
      </c>
    </row>
    <row r="28">
      <c r="A28" s="12" t="inlineStr">
        <is>
          <t>NVDA</t>
        </is>
      </c>
      <c r="B28" s="13" t="inlineStr">
        <is>
          <t>Buy (add)</t>
        </is>
      </c>
      <c r="C28" s="7" t="n">
        <v>11.21</v>
      </c>
      <c r="D28" s="14" t="n">
        <v>0.1</v>
      </c>
      <c r="E28" s="8" t="inlineStr">
        <is>
          <t>Keep; top up  -&gt;  ends at $50.06</t>
        </is>
      </c>
    </row>
    <row r="29">
      <c r="A29" s="12" t="inlineStr">
        <is>
          <t>MSFT</t>
        </is>
      </c>
      <c r="B29" s="13" t="inlineStr">
        <is>
          <t>Buy (add)</t>
        </is>
      </c>
      <c r="C29" s="7" t="n">
        <v>8.81</v>
      </c>
      <c r="D29" s="14" t="n">
        <v>0.05</v>
      </c>
      <c r="E29" s="8" t="inlineStr">
        <is>
          <t>Keep; top up  -&gt;  ends at $25.03</t>
        </is>
      </c>
    </row>
    <row r="30">
      <c r="A30" s="15" t="inlineStr">
        <is>
          <t>GPCR</t>
        </is>
      </c>
      <c r="B30" s="13" t="inlineStr">
        <is>
          <t>Buy (add)</t>
        </is>
      </c>
      <c r="C30" s="7" t="n">
        <v>1.08</v>
      </c>
      <c r="D30" s="14" t="n">
        <v>0.02</v>
      </c>
      <c r="E30" s="8" t="inlineStr">
        <is>
          <t>Keep; already near target  -&gt;  ends at $10.01</t>
        </is>
      </c>
    </row>
    <row r="31">
      <c r="B31" s="9" t="inlineStr">
        <is>
          <t>Total spent</t>
        </is>
      </c>
      <c r="C31" s="10" t="n">
        <v>348.6</v>
      </c>
    </row>
    <row r="33">
      <c r="A33" s="9" t="inlineStr">
        <is>
          <t>Cash check</t>
        </is>
      </c>
    </row>
    <row r="34">
      <c r="A34" s="17" t="inlineStr">
        <is>
          <t>Buys</t>
        </is>
      </c>
      <c r="B34" s="18" t="n">
        <v>348.6</v>
      </c>
    </row>
    <row r="35">
      <c r="A35" s="17" t="inlineStr">
        <is>
          <t>Sells</t>
        </is>
      </c>
      <c r="B35" s="18" t="n">
        <v>-107.61</v>
      </c>
    </row>
    <row r="36">
      <c r="A36" s="17" t="inlineStr">
        <is>
          <t>Net cash needed</t>
        </is>
      </c>
      <c r="B36" s="18" t="n">
        <v>240.99</v>
      </c>
    </row>
    <row r="37">
      <c r="A37" s="17" t="inlineStr">
        <is>
          <t>Your deposit</t>
        </is>
      </c>
      <c r="B37" s="18" t="n">
        <v>241</v>
      </c>
    </row>
    <row r="38">
      <c r="A38" s="9" t="inlineStr">
        <is>
          <t>Left over</t>
        </is>
      </c>
      <c r="B38" s="10" t="n">
        <v>0.01</v>
      </c>
    </row>
    <row r="40" ht="24" customHeight="1">
      <c r="A40" s="2" t="inlineStr">
        <is>
          <t>The two small orders (sell $2.96 WST, buy $1.08 GPCR) matter: skip them and your buys exceed your deposit by $1.88. Robinhood's fractional minimum is $1.00, so both are valid.</t>
        </is>
      </c>
    </row>
    <row r="41" ht="24" customHeight="1">
      <c r="A41" s="2" t="inlineStr">
        <is>
          <t>Prices move overnight. The dollar amounts stay valid; only the share counts you receive will differ.</t>
        </is>
      </c>
    </row>
    <row r="42" ht="24" customHeight="1">
      <c r="A42" s="2" t="inlineStr">
        <is>
          <t>Optional: VRT (Vertiv, data-center cooling) is a real AI-infrastructure business. To keep it instead of selling, set VRT to 2% and SMH to 8% on the Rebalance sheet.</t>
        </is>
      </c>
    </row>
    <row r="43" ht="24" customHeight="1">
      <c r="A43" s="2" t="inlineStr">
        <is>
          <t>This is a taxable account, but the realized gains here are a few dollars at most.</t>
        </is>
      </c>
    </row>
  </sheetData>
  <mergeCells count="5">
    <mergeCell ref="A2:F2"/>
    <mergeCell ref="A43:E43"/>
    <mergeCell ref="A42:E42"/>
    <mergeCell ref="A41:E41"/>
    <mergeCell ref="A40:E40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14" customWidth="1" min="4" max="4"/>
    <col width="13" customWidth="1" min="5" max="5"/>
    <col width="13" customWidth="1" min="6" max="6"/>
    <col width="11" customWidth="1" min="7" max="7"/>
    <col width="11" customWidth="1" min="8" max="8"/>
    <col width="10" customWidth="1" min="9" max="9"/>
    <col width="36" customWidth="1" min="10" max="10"/>
    <col width="52" customWidth="1" min="11" max="11"/>
  </cols>
  <sheetData>
    <row r="1">
      <c r="A1" s="1" t="inlineStr">
        <is>
          <t>Zero to Hero rebalance to the two-engine plan</t>
        </is>
      </c>
    </row>
    <row r="2">
      <c r="A2" s="19" t="inlineStr">
        <is>
          <t>Prices and values are the Sept 17, 2026 close from your Robinhood screenshots. Orders placed tonight fill at tomorrow's open; dollar targets do not change, so use the dollar amounts, not share counts.</t>
        </is>
      </c>
    </row>
    <row r="4">
      <c r="A4" s="9" t="inlineStr">
        <is>
          <t>Inputs (edit the yellow cells only)</t>
        </is>
      </c>
    </row>
    <row r="5">
      <c r="A5" t="inlineStr">
        <is>
          <t>Cash to deposit</t>
        </is>
      </c>
      <c r="B5" s="20" t="n">
        <v>241</v>
      </c>
    </row>
    <row r="6">
      <c r="A6" t="inlineStr">
        <is>
          <t>Current holdings value</t>
        </is>
      </c>
      <c r="B6" s="18">
        <f>SUM(E11:E31)</f>
        <v/>
      </c>
    </row>
    <row r="7">
      <c r="A7" t="inlineStr">
        <is>
          <t>Total to rebalance to</t>
        </is>
      </c>
      <c r="B7" s="10">
        <f>B5+B6</f>
        <v/>
      </c>
    </row>
    <row r="8">
      <c r="A8" t="inlineStr">
        <is>
          <t>Ignore trades smaller than</t>
        </is>
      </c>
      <c r="B8" s="20" t="n">
        <v>1</v>
      </c>
    </row>
    <row r="10" ht="30" customHeight="1">
      <c r="A10" s="21" t="inlineStr">
        <is>
          <t>Ticker</t>
        </is>
      </c>
      <c r="B10" s="21" t="inlineStr">
        <is>
          <t>Sleeve</t>
        </is>
      </c>
      <c r="C10" s="21" t="inlineStr">
        <is>
          <t>Target %</t>
        </is>
      </c>
      <c r="D10" s="21" t="inlineStr">
        <is>
          <t>Current shares</t>
        </is>
      </c>
      <c r="E10" s="21" t="inlineStr">
        <is>
          <t>Current value</t>
        </is>
      </c>
      <c r="F10" s="21" t="inlineStr">
        <is>
          <t>Implied price</t>
        </is>
      </c>
      <c r="G10" s="21" t="inlineStr">
        <is>
          <t>Target $</t>
        </is>
      </c>
      <c r="H10" s="21" t="inlineStr">
        <is>
          <t>Delta $</t>
        </is>
      </c>
      <c r="I10" s="21" t="inlineStr">
        <is>
          <t>Action</t>
        </is>
      </c>
      <c r="J10" s="21" t="inlineStr">
        <is>
          <t>Order to enter tomorrow</t>
        </is>
      </c>
      <c r="K10" s="21" t="inlineStr">
        <is>
          <t>Notes</t>
        </is>
      </c>
    </row>
    <row r="11">
      <c r="A11" s="12" t="inlineStr">
        <is>
          <t>NVDA</t>
        </is>
      </c>
      <c r="B11" s="22" t="inlineStr">
        <is>
          <t>A: AI compute</t>
        </is>
      </c>
      <c r="C11" s="23" t="n">
        <v>0.1</v>
      </c>
      <c r="D11" s="24" t="n">
        <v>0.180103</v>
      </c>
      <c r="E11" s="25" t="n">
        <v>38.85</v>
      </c>
      <c r="F11" s="26">
        <f>IF(D11&gt;0,E11/D11,"")</f>
        <v/>
      </c>
      <c r="G11" s="7">
        <f>C11*$B$7</f>
        <v/>
      </c>
      <c r="H11" s="7">
        <f>G11-E11</f>
        <v/>
      </c>
      <c r="I11" s="5">
        <f>IF(H11&gt;=$B$8,"BUY",IF(H11&lt;=-$B$8,IF(C11=0,"SELL ALL","SELL"),"HOLD"))</f>
        <v/>
      </c>
      <c r="J11" s="27">
        <f>IF(I11="BUY","Buy $"&amp;TEXT(H11,"0.00")&amp;" of "&amp;A11,IF(I11="SELL ALL","Sell all "&amp;TEXT(D11,"0.000000")&amp;" shares of "&amp;A11,IF(I11="SELL","Sell $"&amp;TEXT(-H11,"0.00")&amp;" of "&amp;A11,"No trade")))</f>
        <v/>
      </c>
      <c r="K11" s="8" t="inlineStr">
        <is>
          <t>Keep; top up</t>
        </is>
      </c>
    </row>
    <row r="12">
      <c r="A12" s="12" t="inlineStr">
        <is>
          <t>SMH</t>
        </is>
      </c>
      <c r="B12" s="22" t="inlineStr">
        <is>
          <t>A: AI compute</t>
        </is>
      </c>
      <c r="C12" s="23" t="n">
        <v>0.1</v>
      </c>
      <c r="D12" s="24" t="n"/>
      <c r="E12" s="25" t="n">
        <v>0</v>
      </c>
      <c r="F12" s="26">
        <f>IF(D12&gt;0,E12/D12,"")</f>
        <v/>
      </c>
      <c r="G12" s="7">
        <f>C12*$B$7</f>
        <v/>
      </c>
      <c r="H12" s="7">
        <f>G12-E12</f>
        <v/>
      </c>
      <c r="I12" s="5">
        <f>IF(H12&gt;=$B$8,"BUY",IF(H12&lt;=-$B$8,IF(C12=0,"SELL ALL","SELL"),"HOLD"))</f>
        <v/>
      </c>
      <c r="J12" s="27">
        <f>IF(I12="BUY","Buy $"&amp;TEXT(H12,"0.00")&amp;" of "&amp;A12,IF(I12="SELL ALL","Sell all "&amp;TEXT(D12,"0.000000")&amp;" shares of "&amp;A12,IF(I12="SELL","Sell $"&amp;TEXT(-H12,"0.00")&amp;" of "&amp;A12,"No trade")))</f>
        <v/>
      </c>
      <c r="K12" s="8" t="inlineStr">
        <is>
          <t>New. Semis ETF; replaces direct AMD</t>
        </is>
      </c>
    </row>
    <row r="13">
      <c r="A13" s="12" t="inlineStr">
        <is>
          <t>TSM</t>
        </is>
      </c>
      <c r="B13" s="22" t="inlineStr">
        <is>
          <t>A: AI compute</t>
        </is>
      </c>
      <c r="C13" s="23" t="n">
        <v>0.08</v>
      </c>
      <c r="D13" s="24" t="n">
        <v>0.055741</v>
      </c>
      <c r="E13" s="25" t="n">
        <v>23.47</v>
      </c>
      <c r="F13" s="26">
        <f>IF(D13&gt;0,E13/D13,"")</f>
        <v/>
      </c>
      <c r="G13" s="7">
        <f>C13*$B$7</f>
        <v/>
      </c>
      <c r="H13" s="7">
        <f>G13-E13</f>
        <v/>
      </c>
      <c r="I13" s="5">
        <f>IF(H13&gt;=$B$8,"BUY",IF(H13&lt;=-$B$8,IF(C13=0,"SELL ALL","SELL"),"HOLD"))</f>
        <v/>
      </c>
      <c r="J13" s="27">
        <f>IF(I13="BUY","Buy $"&amp;TEXT(H13,"0.00")&amp;" of "&amp;A13,IF(I13="SELL ALL","Sell all "&amp;TEXT(D13,"0.000000")&amp;" shares of "&amp;A13,IF(I13="SELL","Sell $"&amp;TEXT(-H13,"0.00")&amp;" of "&amp;A13,"No trade")))</f>
        <v/>
      </c>
      <c r="K13" s="8" t="inlineStr">
        <is>
          <t>Keep; top up</t>
        </is>
      </c>
    </row>
    <row r="14">
      <c r="A14" s="12" t="inlineStr">
        <is>
          <t>AVGO</t>
        </is>
      </c>
      <c r="B14" s="22" t="inlineStr">
        <is>
          <t>A: AI compute</t>
        </is>
      </c>
      <c r="C14" s="23" t="n">
        <v>0.06</v>
      </c>
      <c r="D14" s="24" t="n">
        <v>0.03797</v>
      </c>
      <c r="E14" s="25" t="n">
        <v>13.01</v>
      </c>
      <c r="F14" s="26">
        <f>IF(D14&gt;0,E14/D14,"")</f>
        <v/>
      </c>
      <c r="G14" s="7">
        <f>C14*$B$7</f>
        <v/>
      </c>
      <c r="H14" s="7">
        <f>G14-E14</f>
        <v/>
      </c>
      <c r="I14" s="5">
        <f>IF(H14&gt;=$B$8,"BUY",IF(H14&lt;=-$B$8,IF(C14=0,"SELL ALL","SELL"),"HOLD"))</f>
        <v/>
      </c>
      <c r="J14" s="27">
        <f>IF(I14="BUY","Buy $"&amp;TEXT(H14,"0.00")&amp;" of "&amp;A14,IF(I14="SELL ALL","Sell all "&amp;TEXT(D14,"0.000000")&amp;" shares of "&amp;A14,IF(I14="SELL","Sell $"&amp;TEXT(-H14,"0.00")&amp;" of "&amp;A14,"No trade")))</f>
        <v/>
      </c>
      <c r="K14" s="8" t="inlineStr">
        <is>
          <t>Keep; top up</t>
        </is>
      </c>
    </row>
    <row r="15">
      <c r="A15" s="12" t="inlineStr">
        <is>
          <t>GOOGL</t>
        </is>
      </c>
      <c r="B15" s="22" t="inlineStr">
        <is>
          <t>A: AI compute</t>
        </is>
      </c>
      <c r="C15" s="23" t="n">
        <v>0.06</v>
      </c>
      <c r="D15" s="24" t="n"/>
      <c r="E15" s="25" t="n">
        <v>0</v>
      </c>
      <c r="F15" s="26">
        <f>IF(D15&gt;0,E15/D15,"")</f>
        <v/>
      </c>
      <c r="G15" s="7">
        <f>C15*$B$7</f>
        <v/>
      </c>
      <c r="H15" s="7">
        <f>G15-E15</f>
        <v/>
      </c>
      <c r="I15" s="5">
        <f>IF(H15&gt;=$B$8,"BUY",IF(H15&lt;=-$B$8,IF(C15=0,"SELL ALL","SELL"),"HOLD"))</f>
        <v/>
      </c>
      <c r="J15" s="27">
        <f>IF(I15="BUY","Buy $"&amp;TEXT(H15,"0.00")&amp;" of "&amp;A15,IF(I15="SELL ALL","Sell all "&amp;TEXT(D15,"0.000000")&amp;" shares of "&amp;A15,IF(I15="SELL","Sell $"&amp;TEXT(-H15,"0.00")&amp;" of "&amp;A15,"No trade")))</f>
        <v/>
      </c>
      <c r="K15" s="8" t="inlineStr">
        <is>
          <t>New</t>
        </is>
      </c>
    </row>
    <row r="16">
      <c r="A16" s="12" t="inlineStr">
        <is>
          <t>MSFT</t>
        </is>
      </c>
      <c r="B16" s="22" t="inlineStr">
        <is>
          <t>A: AI compute</t>
        </is>
      </c>
      <c r="C16" s="23" t="n">
        <v>0.05</v>
      </c>
      <c r="D16" s="24" t="n">
        <v>0.032864</v>
      </c>
      <c r="E16" s="25" t="n">
        <v>16.22</v>
      </c>
      <c r="F16" s="26">
        <f>IF(D16&gt;0,E16/D16,"")</f>
        <v/>
      </c>
      <c r="G16" s="7">
        <f>C16*$B$7</f>
        <v/>
      </c>
      <c r="H16" s="7">
        <f>G16-E16</f>
        <v/>
      </c>
      <c r="I16" s="5">
        <f>IF(H16&gt;=$B$8,"BUY",IF(H16&lt;=-$B$8,IF(C16=0,"SELL ALL","SELL"),"HOLD"))</f>
        <v/>
      </c>
      <c r="J16" s="27">
        <f>IF(I16="BUY","Buy $"&amp;TEXT(H16,"0.00")&amp;" of "&amp;A16,IF(I16="SELL ALL","Sell all "&amp;TEXT(D16,"0.000000")&amp;" shares of "&amp;A16,IF(I16="SELL","Sell $"&amp;TEXT(-H16,"0.00")&amp;" of "&amp;A16,"No trade")))</f>
        <v/>
      </c>
      <c r="K16" s="8" t="inlineStr">
        <is>
          <t>Keep; top up</t>
        </is>
      </c>
    </row>
    <row r="17">
      <c r="A17" s="15" t="inlineStr">
        <is>
          <t>LLY</t>
        </is>
      </c>
      <c r="B17" s="28" t="inlineStr">
        <is>
          <t>B: GLP-1</t>
        </is>
      </c>
      <c r="C17" s="23" t="n">
        <v>0.16</v>
      </c>
      <c r="D17" s="24" t="n">
        <v>0.032006</v>
      </c>
      <c r="E17" s="25" t="n">
        <v>36.52</v>
      </c>
      <c r="F17" s="26">
        <f>IF(D17&gt;0,E17/D17,"")</f>
        <v/>
      </c>
      <c r="G17" s="7">
        <f>C17*$B$7</f>
        <v/>
      </c>
      <c r="H17" s="7">
        <f>G17-E17</f>
        <v/>
      </c>
      <c r="I17" s="5">
        <f>IF(H17&gt;=$B$8,"BUY",IF(H17&lt;=-$B$8,IF(C17=0,"SELL ALL","SELL"),"HOLD"))</f>
        <v/>
      </c>
      <c r="J17" s="27">
        <f>IF(I17="BUY","Buy $"&amp;TEXT(H17,"0.00")&amp;" of "&amp;A17,IF(I17="SELL ALL","Sell all "&amp;TEXT(D17,"0.000000")&amp;" shares of "&amp;A17,IF(I17="SELL","Sell $"&amp;TEXT(-H17,"0.00")&amp;" of "&amp;A17,"No trade")))</f>
        <v/>
      </c>
      <c r="K17" s="8" t="inlineStr">
        <is>
          <t>Keep; top up</t>
        </is>
      </c>
    </row>
    <row r="18">
      <c r="A18" s="15" t="inlineStr">
        <is>
          <t>NVO</t>
        </is>
      </c>
      <c r="B18" s="28" t="inlineStr">
        <is>
          <t>B: GLP-1</t>
        </is>
      </c>
      <c r="C18" s="23" t="n">
        <v>0.08</v>
      </c>
      <c r="D18" s="24" t="n"/>
      <c r="E18" s="25" t="n">
        <v>0</v>
      </c>
      <c r="F18" s="26">
        <f>IF(D18&gt;0,E18/D18,"")</f>
        <v/>
      </c>
      <c r="G18" s="7">
        <f>C18*$B$7</f>
        <v/>
      </c>
      <c r="H18" s="7">
        <f>G18-E18</f>
        <v/>
      </c>
      <c r="I18" s="5">
        <f>IF(H18&gt;=$B$8,"BUY",IF(H18&lt;=-$B$8,IF(C18=0,"SELL ALL","SELL"),"HOLD"))</f>
        <v/>
      </c>
      <c r="J18" s="27">
        <f>IF(I18="BUY","Buy $"&amp;TEXT(H18,"0.00")&amp;" of "&amp;A18,IF(I18="SELL ALL","Sell all "&amp;TEXT(D18,"0.000000")&amp;" shares of "&amp;A18,IF(I18="SELL","Sell $"&amp;TEXT(-H18,"0.00")&amp;" of "&amp;A18,"No trade")))</f>
        <v/>
      </c>
      <c r="K18" s="8" t="inlineStr">
        <is>
          <t>New</t>
        </is>
      </c>
    </row>
    <row r="19">
      <c r="A19" s="15" t="inlineStr">
        <is>
          <t>AMGN</t>
        </is>
      </c>
      <c r="B19" s="28" t="inlineStr">
        <is>
          <t>B: GLP-1</t>
        </is>
      </c>
      <c r="C19" s="23" t="n">
        <v>0.05</v>
      </c>
      <c r="D19" s="24" t="n"/>
      <c r="E19" s="25" t="n">
        <v>0</v>
      </c>
      <c r="F19" s="26">
        <f>IF(D19&gt;0,E19/D19,"")</f>
        <v/>
      </c>
      <c r="G19" s="7">
        <f>C19*$B$7</f>
        <v/>
      </c>
      <c r="H19" s="7">
        <f>G19-E19</f>
        <v/>
      </c>
      <c r="I19" s="5">
        <f>IF(H19&gt;=$B$8,"BUY",IF(H19&lt;=-$B$8,IF(C19=0,"SELL ALL","SELL"),"HOLD"))</f>
        <v/>
      </c>
      <c r="J19" s="27">
        <f>IF(I19="BUY","Buy $"&amp;TEXT(H19,"0.00")&amp;" of "&amp;A19,IF(I19="SELL ALL","Sell all "&amp;TEXT(D19,"0.000000")&amp;" shares of "&amp;A19,IF(I19="SELL","Sell $"&amp;TEXT(-H19,"0.00")&amp;" of "&amp;A19,"No trade")))</f>
        <v/>
      </c>
      <c r="K19" s="8" t="inlineStr">
        <is>
          <t>New</t>
        </is>
      </c>
    </row>
    <row r="20">
      <c r="A20" s="15" t="inlineStr">
        <is>
          <t>PFE</t>
        </is>
      </c>
      <c r="B20" s="28" t="inlineStr">
        <is>
          <t>B: GLP-1</t>
        </is>
      </c>
      <c r="C20" s="23" t="n">
        <v>0.03</v>
      </c>
      <c r="D20" s="24" t="n"/>
      <c r="E20" s="25" t="n">
        <v>0</v>
      </c>
      <c r="F20" s="26">
        <f>IF(D20&gt;0,E20/D20,"")</f>
        <v/>
      </c>
      <c r="G20" s="7">
        <f>C20*$B$7</f>
        <v/>
      </c>
      <c r="H20" s="7">
        <f>G20-E20</f>
        <v/>
      </c>
      <c r="I20" s="5">
        <f>IF(H20&gt;=$B$8,"BUY",IF(H20&lt;=-$B$8,IF(C20=0,"SELL ALL","SELL"),"HOLD"))</f>
        <v/>
      </c>
      <c r="J20" s="27">
        <f>IF(I20="BUY","Buy $"&amp;TEXT(H20,"0.00")&amp;" of "&amp;A20,IF(I20="SELL ALL","Sell all "&amp;TEXT(D20,"0.000000")&amp;" shares of "&amp;A20,IF(I20="SELL","Sell $"&amp;TEXT(-H20,"0.00")&amp;" of "&amp;A20,"No trade")))</f>
        <v/>
      </c>
      <c r="K20" s="8" t="inlineStr">
        <is>
          <t>New</t>
        </is>
      </c>
    </row>
    <row r="21">
      <c r="A21" s="15" t="inlineStr">
        <is>
          <t>WST</t>
        </is>
      </c>
      <c r="B21" s="28" t="inlineStr">
        <is>
          <t>B: GLP-1</t>
        </is>
      </c>
      <c r="C21" s="23" t="n">
        <v>0.03</v>
      </c>
      <c r="D21" s="24" t="n">
        <v>0.049693</v>
      </c>
      <c r="E21" s="25" t="n">
        <v>17.98</v>
      </c>
      <c r="F21" s="26">
        <f>IF(D21&gt;0,E21/D21,"")</f>
        <v/>
      </c>
      <c r="G21" s="7">
        <f>C21*$B$7</f>
        <v/>
      </c>
      <c r="H21" s="7">
        <f>G21-E21</f>
        <v/>
      </c>
      <c r="I21" s="5">
        <f>IF(H21&gt;=$B$8,"BUY",IF(H21&lt;=-$B$8,IF(C21=0,"SELL ALL","SELL"),"HOLD"))</f>
        <v/>
      </c>
      <c r="J21" s="27">
        <f>IF(I21="BUY","Buy $"&amp;TEXT(H21,"0.00")&amp;" of "&amp;A21,IF(I21="SELL ALL","Sell all "&amp;TEXT(D21,"0.000000")&amp;" shares of "&amp;A21,IF(I21="SELL","Sell $"&amp;TEXT(-H21,"0.00")&amp;" of "&amp;A21,"No trade")))</f>
        <v/>
      </c>
      <c r="K21" s="8" t="inlineStr">
        <is>
          <t>Keep; already near target</t>
        </is>
      </c>
    </row>
    <row r="22">
      <c r="A22" s="15" t="inlineStr">
        <is>
          <t>VKTX</t>
        </is>
      </c>
      <c r="B22" s="28" t="inlineStr">
        <is>
          <t>B: GLP-1</t>
        </is>
      </c>
      <c r="C22" s="23" t="n">
        <v>0.03</v>
      </c>
      <c r="D22" s="24" t="n"/>
      <c r="E22" s="25" t="n">
        <v>0</v>
      </c>
      <c r="F22" s="26">
        <f>IF(D22&gt;0,E22/D22,"")</f>
        <v/>
      </c>
      <c r="G22" s="7">
        <f>C22*$B$7</f>
        <v/>
      </c>
      <c r="H22" s="7">
        <f>G22-E22</f>
        <v/>
      </c>
      <c r="I22" s="5">
        <f>IF(H22&gt;=$B$8,"BUY",IF(H22&lt;=-$B$8,IF(C22=0,"SELL ALL","SELL"),"HOLD"))</f>
        <v/>
      </c>
      <c r="J22" s="27">
        <f>IF(I22="BUY","Buy $"&amp;TEXT(H22,"0.00")&amp;" of "&amp;A22,IF(I22="SELL ALL","Sell all "&amp;TEXT(D22,"0.000000")&amp;" shares of "&amp;A22,IF(I22="SELL","Sell $"&amp;TEXT(-H22,"0.00")&amp;" of "&amp;A22,"No trade")))</f>
        <v/>
      </c>
      <c r="K22" s="8" t="inlineStr">
        <is>
          <t>New. Speculative; never add later</t>
        </is>
      </c>
    </row>
    <row r="23">
      <c r="A23" s="15" t="inlineStr">
        <is>
          <t>GPCR</t>
        </is>
      </c>
      <c r="B23" s="28" t="inlineStr">
        <is>
          <t>B: GLP-1</t>
        </is>
      </c>
      <c r="C23" s="23" t="n">
        <v>0.02</v>
      </c>
      <c r="D23" s="24" t="n">
        <v>0.249229</v>
      </c>
      <c r="E23" s="25" t="n">
        <v>8.93</v>
      </c>
      <c r="F23" s="26">
        <f>IF(D23&gt;0,E23/D23,"")</f>
        <v/>
      </c>
      <c r="G23" s="7">
        <f>C23*$B$7</f>
        <v/>
      </c>
      <c r="H23" s="7">
        <f>G23-E23</f>
        <v/>
      </c>
      <c r="I23" s="5">
        <f>IF(H23&gt;=$B$8,"BUY",IF(H23&lt;=-$B$8,IF(C23=0,"SELL ALL","SELL"),"HOLD"))</f>
        <v/>
      </c>
      <c r="J23" s="27">
        <f>IF(I23="BUY","Buy $"&amp;TEXT(H23,"0.00")&amp;" of "&amp;A23,IF(I23="SELL ALL","Sell all "&amp;TEXT(D23,"0.000000")&amp;" shares of "&amp;A23,IF(I23="SELL","Sell $"&amp;TEXT(-H23,"0.00")&amp;" of "&amp;A23,"No trade")))</f>
        <v/>
      </c>
      <c r="K23" s="8" t="inlineStr">
        <is>
          <t>Keep; already near target</t>
        </is>
      </c>
    </row>
    <row r="24">
      <c r="A24" s="16" t="inlineStr">
        <is>
          <t>GLDM</t>
        </is>
      </c>
      <c r="B24" s="29" t="inlineStr">
        <is>
          <t>C: Ballast</t>
        </is>
      </c>
      <c r="C24" s="23" t="n">
        <v>0.05</v>
      </c>
      <c r="D24" s="24" t="n"/>
      <c r="E24" s="25" t="n">
        <v>0</v>
      </c>
      <c r="F24" s="26">
        <f>IF(D24&gt;0,E24/D24,"")</f>
        <v/>
      </c>
      <c r="G24" s="7">
        <f>C24*$B$7</f>
        <v/>
      </c>
      <c r="H24" s="7">
        <f>G24-E24</f>
        <v/>
      </c>
      <c r="I24" s="5">
        <f>IF(H24&gt;=$B$8,"BUY",IF(H24&lt;=-$B$8,IF(C24=0,"SELL ALL","SELL"),"HOLD"))</f>
        <v/>
      </c>
      <c r="J24" s="27">
        <f>IF(I24="BUY","Buy $"&amp;TEXT(H24,"0.00")&amp;" of "&amp;A24,IF(I24="SELL ALL","Sell all "&amp;TEXT(D24,"0.000000")&amp;" shares of "&amp;A24,IF(I24="SELL","Sell $"&amp;TEXT(-H24,"0.00")&amp;" of "&amp;A24,"No trade")))</f>
        <v/>
      </c>
      <c r="K24" s="8" t="inlineStr">
        <is>
          <t>New. Gold</t>
        </is>
      </c>
    </row>
    <row r="25">
      <c r="A25" s="16" t="inlineStr">
        <is>
          <t>XLE</t>
        </is>
      </c>
      <c r="B25" s="29" t="inlineStr">
        <is>
          <t>C: Ballast</t>
        </is>
      </c>
      <c r="C25" s="23" t="n">
        <v>0.05</v>
      </c>
      <c r="D25" s="24" t="n"/>
      <c r="E25" s="25" t="n">
        <v>0</v>
      </c>
      <c r="F25" s="26">
        <f>IF(D25&gt;0,E25/D25,"")</f>
        <v/>
      </c>
      <c r="G25" s="7">
        <f>C25*$B$7</f>
        <v/>
      </c>
      <c r="H25" s="7">
        <f>G25-E25</f>
        <v/>
      </c>
      <c r="I25" s="5">
        <f>IF(H25&gt;=$B$8,"BUY",IF(H25&lt;=-$B$8,IF(C25=0,"SELL ALL","SELL"),"HOLD"))</f>
        <v/>
      </c>
      <c r="J25" s="27">
        <f>IF(I25="BUY","Buy $"&amp;TEXT(H25,"0.00")&amp;" of "&amp;A25,IF(I25="SELL ALL","Sell all "&amp;TEXT(D25,"0.000000")&amp;" shares of "&amp;A25,IF(I25="SELL","Sell $"&amp;TEXT(-H25,"0.00")&amp;" of "&amp;A25,"No trade")))</f>
        <v/>
      </c>
      <c r="K25" s="8" t="inlineStr">
        <is>
          <t>New. Energy</t>
        </is>
      </c>
    </row>
    <row r="26">
      <c r="A26" s="16" t="inlineStr">
        <is>
          <t>SGOV</t>
        </is>
      </c>
      <c r="B26" s="29" t="inlineStr">
        <is>
          <t>C: Ballast</t>
        </is>
      </c>
      <c r="C26" s="23" t="n">
        <v>0.05</v>
      </c>
      <c r="D26" s="24" t="n"/>
      <c r="E26" s="25" t="n">
        <v>0</v>
      </c>
      <c r="F26" s="26">
        <f>IF(D26&gt;0,E26/D26,"")</f>
        <v/>
      </c>
      <c r="G26" s="7">
        <f>C26*$B$7</f>
        <v/>
      </c>
      <c r="H26" s="7">
        <f>G26-E26</f>
        <v/>
      </c>
      <c r="I26" s="5">
        <f>IF(H26&gt;=$B$8,"BUY",IF(H26&lt;=-$B$8,IF(C26=0,"SELL ALL","SELL"),"HOLD"))</f>
        <v/>
      </c>
      <c r="J26" s="27">
        <f>IF(I26="BUY","Buy $"&amp;TEXT(H26,"0.00")&amp;" of "&amp;A26,IF(I26="SELL ALL","Sell all "&amp;TEXT(D26,"0.000000")&amp;" shares of "&amp;A26,IF(I26="SELL","Sell $"&amp;TEXT(-H26,"0.00")&amp;" of "&amp;A26,"No trade")))</f>
        <v/>
      </c>
      <c r="K26" s="8" t="inlineStr">
        <is>
          <t>New. T-bills, rebalancing reservoir</t>
        </is>
      </c>
    </row>
    <row r="27">
      <c r="A27" s="30" t="inlineStr">
        <is>
          <t>AMD</t>
        </is>
      </c>
      <c r="B27" s="31" t="inlineStr">
        <is>
          <t>Not in plan</t>
        </is>
      </c>
      <c r="C27" s="23" t="n">
        <v>0</v>
      </c>
      <c r="D27" s="24" t="n">
        <v>0.06508899999999999</v>
      </c>
      <c r="E27" s="25" t="n">
        <v>33.76</v>
      </c>
      <c r="F27" s="26">
        <f>IF(D27&gt;0,E27/D27,"")</f>
        <v/>
      </c>
      <c r="G27" s="7">
        <f>C27*$B$7</f>
        <v/>
      </c>
      <c r="H27" s="7">
        <f>G27-E27</f>
        <v/>
      </c>
      <c r="I27" s="5">
        <f>IF(H27&gt;=$B$8,"BUY",IF(H27&lt;=-$B$8,IF(C27=0,"SELL ALL","SELL"),"HOLD"))</f>
        <v/>
      </c>
      <c r="J27" s="27">
        <f>IF(I27="BUY","Buy $"&amp;TEXT(H27,"0.00")&amp;" of "&amp;A27,IF(I27="SELL ALL","Sell all "&amp;TEXT(D27,"0.000000")&amp;" shares of "&amp;A27,IF(I27="SELL","Sell $"&amp;TEXT(-H27,"0.00")&amp;" of "&amp;A27,"No trade")))</f>
        <v/>
      </c>
      <c r="K27" s="8" t="inlineStr">
        <is>
          <t>Exit; SMH holds AMD at ~5% weight</t>
        </is>
      </c>
    </row>
    <row r="28">
      <c r="A28" s="30" t="inlineStr">
        <is>
          <t>HIMS</t>
        </is>
      </c>
      <c r="B28" s="31" t="inlineStr">
        <is>
          <t>Not in plan</t>
        </is>
      </c>
      <c r="C28" s="23" t="n">
        <v>0</v>
      </c>
      <c r="D28" s="24" t="n">
        <v>0.653246</v>
      </c>
      <c r="E28" s="25" t="n">
        <v>18.37</v>
      </c>
      <c r="F28" s="26">
        <f>IF(D28&gt;0,E28/D28,"")</f>
        <v/>
      </c>
      <c r="G28" s="7">
        <f>C28*$B$7</f>
        <v/>
      </c>
      <c r="H28" s="7">
        <f>G28-E28</f>
        <v/>
      </c>
      <c r="I28" s="5">
        <f>IF(H28&gt;=$B$8,"BUY",IF(H28&lt;=-$B$8,IF(C28=0,"SELL ALL","SELL"),"HOLD"))</f>
        <v/>
      </c>
      <c r="J28" s="27">
        <f>IF(I28="BUY","Buy $"&amp;TEXT(H28,"0.00")&amp;" of "&amp;A28,IF(I28="SELL ALL","Sell all "&amp;TEXT(D28,"0.000000")&amp;" shares of "&amp;A28,IF(I28="SELL","Sell $"&amp;TEXT(-H28,"0.00")&amp;" of "&amp;A28,"No trade")))</f>
        <v/>
      </c>
      <c r="K28" s="8" t="inlineStr">
        <is>
          <t>Exit; compounding wound down, now a Wegovy reseller</t>
        </is>
      </c>
    </row>
    <row r="29">
      <c r="A29" s="30" t="inlineStr">
        <is>
          <t>VOO</t>
        </is>
      </c>
      <c r="B29" s="31" t="inlineStr">
        <is>
          <t>Not in plan</t>
        </is>
      </c>
      <c r="C29" s="23" t="n">
        <v>0</v>
      </c>
      <c r="D29" s="24" t="n">
        <v>0.037178</v>
      </c>
      <c r="E29" s="25" t="n">
        <v>25.93</v>
      </c>
      <c r="F29" s="26">
        <f>IF(D29&gt;0,E29/D29,"")</f>
        <v/>
      </c>
      <c r="G29" s="7">
        <f>C29*$B$7</f>
        <v/>
      </c>
      <c r="H29" s="7">
        <f>G29-E29</f>
        <v/>
      </c>
      <c r="I29" s="5">
        <f>IF(H29&gt;=$B$8,"BUY",IF(H29&lt;=-$B$8,IF(C29=0,"SELL ALL","SELL"),"HOLD"))</f>
        <v/>
      </c>
      <c r="J29" s="27">
        <f>IF(I29="BUY","Buy $"&amp;TEXT(H29,"0.00")&amp;" of "&amp;A29,IF(I29="SELL ALL","Sell all "&amp;TEXT(D29,"0.000000")&amp;" shares of "&amp;A29,IF(I29="SELL","Sell $"&amp;TEXT(-H29,"0.00")&amp;" of "&amp;A29,"No trade")))</f>
        <v/>
      </c>
      <c r="K29" s="8" t="inlineStr">
        <is>
          <t>Exit; VOO is the kill-switch destination, not a starting position</t>
        </is>
      </c>
    </row>
    <row r="30">
      <c r="A30" s="30" t="inlineStr">
        <is>
          <t>AMZN</t>
        </is>
      </c>
      <c r="B30" s="31" t="inlineStr">
        <is>
          <t>Not in plan</t>
        </is>
      </c>
      <c r="C30" s="23" t="n">
        <v>0</v>
      </c>
      <c r="D30" s="24" t="n">
        <v>0.065466</v>
      </c>
      <c r="E30" s="25" t="n">
        <v>16.25</v>
      </c>
      <c r="F30" s="26">
        <f>IF(D30&gt;0,E30/D30,"")</f>
        <v/>
      </c>
      <c r="G30" s="7">
        <f>C30*$B$7</f>
        <v/>
      </c>
      <c r="H30" s="7">
        <f>G30-E30</f>
        <v/>
      </c>
      <c r="I30" s="5">
        <f>IF(H30&gt;=$B$8,"BUY",IF(H30&lt;=-$B$8,IF(C30=0,"SELL ALL","SELL"),"HOLD"))</f>
        <v/>
      </c>
      <c r="J30" s="27">
        <f>IF(I30="BUY","Buy $"&amp;TEXT(H30,"0.00")&amp;" of "&amp;A30,IF(I30="SELL ALL","Sell all "&amp;TEXT(D30,"0.000000")&amp;" shares of "&amp;A30,IF(I30="SELL","Sell $"&amp;TEXT(-H30,"0.00")&amp;" of "&amp;A30,"No trade")))</f>
        <v/>
      </c>
      <c r="K30" s="8" t="inlineStr">
        <is>
          <t>Exit; AWS exposure comes via MSFT/GOOGL in this plan</t>
        </is>
      </c>
    </row>
    <row r="31">
      <c r="A31" s="30" t="inlineStr">
        <is>
          <t>VRT</t>
        </is>
      </c>
      <c r="B31" s="31" t="inlineStr">
        <is>
          <t>Not in plan</t>
        </is>
      </c>
      <c r="C31" s="23" t="n">
        <v>0</v>
      </c>
      <c r="D31" s="24" t="n">
        <v>0.042426</v>
      </c>
      <c r="E31" s="25" t="n">
        <v>10.34</v>
      </c>
      <c r="F31" s="26">
        <f>IF(D31&gt;0,E31/D31,"")</f>
        <v/>
      </c>
      <c r="G31" s="7">
        <f>C31*$B$7</f>
        <v/>
      </c>
      <c r="H31" s="7">
        <f>G31-E31</f>
        <v/>
      </c>
      <c r="I31" s="5">
        <f>IF(H31&gt;=$B$8,"BUY",IF(H31&lt;=-$B$8,IF(C31=0,"SELL ALL","SELL"),"HOLD"))</f>
        <v/>
      </c>
      <c r="J31" s="27">
        <f>IF(I31="BUY","Buy $"&amp;TEXT(H31,"0.00")&amp;" of "&amp;A31,IF(I31="SELL ALL","Sell all "&amp;TEXT(D31,"0.000000")&amp;" shares of "&amp;A31,IF(I31="SELL","Sell $"&amp;TEXT(-H31,"0.00")&amp;" of "&amp;A31,"No trade")))</f>
        <v/>
      </c>
      <c r="K31" s="8" t="inlineStr">
        <is>
          <t>Exit; optional keep (see note below)</t>
        </is>
      </c>
    </row>
    <row r="32">
      <c r="A32" s="9" t="inlineStr">
        <is>
          <t>Totals</t>
        </is>
      </c>
      <c r="C32" s="32">
        <f>SUM(C11:C31)</f>
        <v/>
      </c>
      <c r="E32" s="10">
        <f>SUM(E11:E31)</f>
        <v/>
      </c>
      <c r="G32" s="10">
        <f>SUM(G11:G31)</f>
        <v/>
      </c>
      <c r="H32" s="10">
        <f>SUM(H11:H31)</f>
        <v/>
      </c>
    </row>
    <row r="34">
      <c r="A34" s="9" t="inlineStr">
        <is>
          <t>Cash check</t>
        </is>
      </c>
    </row>
    <row r="35">
      <c r="A35" t="inlineStr">
        <is>
          <t>Total buys</t>
        </is>
      </c>
      <c r="B35" s="18">
        <f>SUMIF(I11:I31,"BUY",H11:H31)</f>
        <v/>
      </c>
    </row>
    <row r="36">
      <c r="A36" t="inlineStr">
        <is>
          <t>Total sells</t>
        </is>
      </c>
      <c r="B36" s="18">
        <f>-SUMIF(I11:I31,"SELL*",H11:H31)</f>
        <v/>
      </c>
    </row>
    <row r="37">
      <c r="A37" t="inlineStr">
        <is>
          <t>Net cash needed (buys minus sells)</t>
        </is>
      </c>
      <c r="B37" s="18">
        <f>B35-B36</f>
        <v/>
      </c>
    </row>
    <row r="38">
      <c r="A38" t="inlineStr">
        <is>
          <t>Cash you are depositing</t>
        </is>
      </c>
      <c r="B38" s="18">
        <f>B5</f>
        <v/>
      </c>
    </row>
    <row r="39">
      <c r="A39" t="inlineStr">
        <is>
          <t>Left over as cash after trades</t>
        </is>
      </c>
      <c r="B39" s="10">
        <f>B5-B37</f>
        <v/>
      </c>
      <c r="C39" s="19" t="inlineStr">
        <is>
          <t>Should be about $0.00. If you skip a small trade it goes positive; leave it as buying power or add it to SGOV.</t>
        </is>
      </c>
    </row>
    <row r="41">
      <c r="A41" s="9" t="inlineStr">
        <is>
          <t>Order of operations tomorrow</t>
        </is>
      </c>
    </row>
    <row r="42" ht="28" customHeight="1">
      <c r="A42" s="33" t="inlineStr">
        <is>
          <t>1. Deposit the cash tonight so it is available at the open (Robinhood instant deposits usually are).</t>
        </is>
      </c>
    </row>
    <row r="43" ht="28" customHeight="1">
      <c r="A43" s="33" t="inlineStr">
        <is>
          <t>2. Enter the SELL ALL rows first: AMD, HIMS, VOO, AMZN, VRT. Fractional sells only execute during market hours; proceeds add to buying power right away.</t>
        </is>
      </c>
    </row>
    <row r="44" ht="28" customHeight="1">
      <c r="A44" s="33" t="inlineStr">
        <is>
          <t>3. Enter every BUY row as a dollar-amount fractional order. Market orders at the open are fine at these sizes.</t>
        </is>
      </c>
    </row>
    <row r="45" ht="28" customHeight="1">
      <c r="A45" s="33" t="inlineStr">
        <is>
          <t>4. Two small trades are easy to overlook but the cash math depends on them: sell $2.96 of WST and buy $1.08 of GPCR. Robinhood's fractional minimum is $1.00, so both are valid orders.</t>
        </is>
      </c>
    </row>
    <row r="46" ht="28" customHeight="1">
      <c r="A46" s="33" t="inlineStr">
        <is>
          <t>5. Optional deviation: VRT (Vertiv, data-center cooling) is a legitimate AI-infrastructure name. If you would rather keep it, set its Target % to 0.02 and cut SMH to 0.08; the sheet recalculates.</t>
        </is>
      </c>
    </row>
    <row r="47" ht="28" customHeight="1">
      <c r="A47" s="33" t="inlineStr">
        <is>
          <t>6. Tax note: this is a taxable account, but the gains being realized are a few dollars at most.</t>
        </is>
      </c>
    </row>
    <row r="49">
      <c r="A49" s="19" t="inlineStr">
        <is>
          <t>Legend: blue text = inputs you can change (deposit, weights, your current shares/values). Black = formulas. Yellow = the two cells to edit.</t>
        </is>
      </c>
    </row>
  </sheetData>
  <mergeCells count="6">
    <mergeCell ref="A43:K43"/>
    <mergeCell ref="A47:K47"/>
    <mergeCell ref="A42:K42"/>
    <mergeCell ref="A46:K46"/>
    <mergeCell ref="A44:K44"/>
    <mergeCell ref="A45:K4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</cols>
  <sheetData>
    <row r="1">
      <c r="A1" s="9" t="inlineStr">
        <is>
          <t>Zero to Hero holdings as shown in Robinhood, Sept 17 2026 close (transcribed from screenshots)</t>
        </is>
      </c>
    </row>
    <row r="3">
      <c r="A3" s="4" t="inlineStr">
        <is>
          <t>Ticker</t>
        </is>
      </c>
      <c r="B3" s="4" t="inlineStr">
        <is>
          <t>Shares</t>
        </is>
      </c>
      <c r="C3" s="4" t="inlineStr">
        <is>
          <t>Market value</t>
        </is>
      </c>
      <c r="D3" s="4" t="inlineStr">
        <is>
          <t>Implied price</t>
        </is>
      </c>
    </row>
    <row r="4">
      <c r="A4" s="9" t="inlineStr">
        <is>
          <t>NVDA</t>
        </is>
      </c>
      <c r="B4" s="34" t="n">
        <v>0.180103</v>
      </c>
      <c r="C4" s="35" t="n">
        <v>38.85</v>
      </c>
      <c r="D4" s="36">
        <f>C4/B4</f>
        <v/>
      </c>
    </row>
    <row r="5">
      <c r="A5" s="9" t="inlineStr">
        <is>
          <t>LLY</t>
        </is>
      </c>
      <c r="B5" s="34" t="n">
        <v>0.032006</v>
      </c>
      <c r="C5" s="35" t="n">
        <v>36.52</v>
      </c>
      <c r="D5" s="36">
        <f>C5/B5</f>
        <v/>
      </c>
    </row>
    <row r="6">
      <c r="A6" s="9" t="inlineStr">
        <is>
          <t>AMD</t>
        </is>
      </c>
      <c r="B6" s="34" t="n">
        <v>0.06508899999999999</v>
      </c>
      <c r="C6" s="35" t="n">
        <v>33.76</v>
      </c>
      <c r="D6" s="36">
        <f>C6/B6</f>
        <v/>
      </c>
    </row>
    <row r="7">
      <c r="A7" s="9" t="inlineStr">
        <is>
          <t>HIMS</t>
        </is>
      </c>
      <c r="B7" s="34" t="n">
        <v>0.653246</v>
      </c>
      <c r="C7" s="35" t="n">
        <v>18.37</v>
      </c>
      <c r="D7" s="36">
        <f>C7/B7</f>
        <v/>
      </c>
    </row>
    <row r="8">
      <c r="A8" s="9" t="inlineStr">
        <is>
          <t>VOO</t>
        </is>
      </c>
      <c r="B8" s="34" t="n">
        <v>0.037178</v>
      </c>
      <c r="C8" s="35" t="n">
        <v>25.93</v>
      </c>
      <c r="D8" s="36">
        <f>C8/B8</f>
        <v/>
      </c>
    </row>
    <row r="9">
      <c r="A9" s="9" t="inlineStr">
        <is>
          <t>TSM</t>
        </is>
      </c>
      <c r="B9" s="34" t="n">
        <v>0.055741</v>
      </c>
      <c r="C9" s="35" t="n">
        <v>23.47</v>
      </c>
      <c r="D9" s="36">
        <f>C9/B9</f>
        <v/>
      </c>
    </row>
    <row r="10">
      <c r="A10" s="9" t="inlineStr">
        <is>
          <t>WST</t>
        </is>
      </c>
      <c r="B10" s="34" t="n">
        <v>0.049693</v>
      </c>
      <c r="C10" s="35" t="n">
        <v>17.98</v>
      </c>
      <c r="D10" s="36">
        <f>C10/B10</f>
        <v/>
      </c>
    </row>
    <row r="11">
      <c r="A11" s="9" t="inlineStr">
        <is>
          <t>AMZN</t>
        </is>
      </c>
      <c r="B11" s="34" t="n">
        <v>0.065466</v>
      </c>
      <c r="C11" s="35" t="n">
        <v>16.25</v>
      </c>
      <c r="D11" s="36">
        <f>C11/B11</f>
        <v/>
      </c>
    </row>
    <row r="12">
      <c r="A12" s="9" t="inlineStr">
        <is>
          <t>MSFT</t>
        </is>
      </c>
      <c r="B12" s="34" t="n">
        <v>0.032864</v>
      </c>
      <c r="C12" s="35" t="n">
        <v>16.22</v>
      </c>
      <c r="D12" s="36">
        <f>C12/B12</f>
        <v/>
      </c>
    </row>
    <row r="13">
      <c r="A13" s="9" t="inlineStr">
        <is>
          <t>AVGO</t>
        </is>
      </c>
      <c r="B13" s="34" t="n">
        <v>0.03797</v>
      </c>
      <c r="C13" s="35" t="n">
        <v>13.01</v>
      </c>
      <c r="D13" s="36">
        <f>C13/B13</f>
        <v/>
      </c>
    </row>
    <row r="14">
      <c r="A14" s="9" t="inlineStr">
        <is>
          <t>VRT</t>
        </is>
      </c>
      <c r="B14" s="34" t="n">
        <v>0.042426</v>
      </c>
      <c r="C14" s="35" t="n">
        <v>10.34</v>
      </c>
      <c r="D14" s="36">
        <f>C14/B14</f>
        <v/>
      </c>
    </row>
    <row r="15">
      <c r="A15" s="9" t="inlineStr">
        <is>
          <t>GPCR</t>
        </is>
      </c>
      <c r="B15" s="34" t="n">
        <v>0.249229</v>
      </c>
      <c r="C15" s="35" t="n">
        <v>8.93</v>
      </c>
      <c r="D15" s="36">
        <f>C15/B15</f>
        <v/>
      </c>
    </row>
    <row r="16">
      <c r="A16" s="9" t="inlineStr">
        <is>
          <t>Total</t>
        </is>
      </c>
      <c r="C16" s="10">
        <f>SUM(C4:C15)</f>
        <v/>
      </c>
    </row>
    <row r="18">
      <c r="A18" s="19" t="inlineStr">
        <is>
          <t>Buying power shown: $0.00. Source: user screenshots, Sept 17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2026-09-17T04:22:46Z</dcterms:created>
  <dcterms:modified xsi:type="dcterms:W3CDTF">2026-09-17T04:22:46Z</dcterms:modified>
</cp:coreProperties>
</file>